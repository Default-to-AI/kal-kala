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RE\Desktop\"/>
    </mc:Choice>
  </mc:AlternateContent>
  <xr:revisionPtr revIDLastSave="0" documentId="13_ncr:1_{5ABE7F37-E631-441C-8779-858701E96FCD}" xr6:coauthVersionLast="47" xr6:coauthVersionMax="47" xr10:uidLastSave="{00000000-0000-0000-0000-000000000000}"/>
  <bookViews>
    <workbookView xWindow="-110" yWindow="-110" windowWidth="19420" windowHeight="10420" activeTab="4" xr2:uid="{47B2D09E-B866-4AF8-90B2-E9A2384546CA}"/>
  </bookViews>
  <sheets>
    <sheet name="הון עצמי" sheetId="1" r:id="rId1"/>
    <sheet name="הון עצמי - חוברת" sheetId="2" r:id="rId2"/>
    <sheet name="תרגיל 1" sheetId="3" r:id="rId3"/>
    <sheet name="תרגיל 2  " sheetId="4" r:id="rId4"/>
    <sheet name="השקעות בני&quot;ע סחירים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  <c r="D36" i="5"/>
  <c r="D32" i="5"/>
  <c r="D28" i="5"/>
  <c r="D14" i="4" l="1"/>
  <c r="E14" i="4"/>
  <c r="F14" i="4"/>
  <c r="G14" i="4"/>
  <c r="H14" i="4"/>
  <c r="C14" i="4"/>
  <c r="C22" i="4"/>
  <c r="H7" i="4"/>
  <c r="H8" i="4"/>
  <c r="H9" i="4"/>
  <c r="H10" i="4"/>
  <c r="H11" i="4"/>
  <c r="H12" i="4"/>
  <c r="H13" i="4"/>
  <c r="D11" i="3"/>
  <c r="E11" i="3"/>
  <c r="F11" i="3"/>
  <c r="G11" i="3"/>
  <c r="H11" i="3"/>
  <c r="C11" i="3"/>
  <c r="H7" i="3"/>
  <c r="H8" i="3"/>
  <c r="H9" i="3"/>
  <c r="H10" i="3"/>
  <c r="G7" i="3"/>
  <c r="D25" i="3"/>
  <c r="D23" i="3"/>
  <c r="G46" i="2" l="1"/>
  <c r="D46" i="2"/>
  <c r="E46" i="2"/>
  <c r="F46" i="2"/>
  <c r="C46" i="2"/>
  <c r="G45" i="2"/>
  <c r="G44" i="2"/>
  <c r="G43" i="2"/>
  <c r="G42" i="2"/>
  <c r="D75" i="2"/>
  <c r="D74" i="2"/>
  <c r="D40" i="2" l="1"/>
  <c r="E40" i="2"/>
  <c r="F40" i="2"/>
  <c r="G40" i="2"/>
  <c r="C40" i="2"/>
  <c r="G37" i="2"/>
  <c r="G38" i="2"/>
  <c r="G39" i="2"/>
  <c r="G41" i="2"/>
  <c r="G36" i="2"/>
  <c r="F129" i="1"/>
  <c r="F130" i="1"/>
  <c r="F128" i="1"/>
  <c r="E131" i="1"/>
  <c r="H5" i="3" l="1"/>
  <c r="H6" i="3"/>
  <c r="H4" i="3"/>
  <c r="D12" i="2"/>
  <c r="E12" i="2"/>
  <c r="F12" i="2"/>
  <c r="C12" i="2"/>
  <c r="G6" i="2"/>
  <c r="G7" i="2"/>
  <c r="G8" i="2"/>
  <c r="G9" i="2"/>
  <c r="G10" i="2"/>
  <c r="G11" i="2"/>
  <c r="G5" i="2"/>
  <c r="G12" i="2" l="1"/>
  <c r="C72" i="1"/>
</calcChain>
</file>

<file path=xl/sharedStrings.xml><?xml version="1.0" encoding="utf-8"?>
<sst xmlns="http://schemas.openxmlformats.org/spreadsheetml/2006/main" count="403" uniqueCount="236">
  <si>
    <t>הנפקת מניות</t>
  </si>
  <si>
    <t xml:space="preserve">הוצאות הנפקה </t>
  </si>
  <si>
    <t>הכרזה על דיבידנד</t>
  </si>
  <si>
    <t>חלוקת מניות הטבה</t>
  </si>
  <si>
    <t xml:space="preserve">דוגמא </t>
  </si>
  <si>
    <t>הון מ"ר</t>
  </si>
  <si>
    <t>פרמיה</t>
  </si>
  <si>
    <t>העברה לקרן הון שמורה</t>
  </si>
  <si>
    <t>סה"כ</t>
  </si>
  <si>
    <t>דוח על השינויים בהון העצמי - שאלה 1 בחוברת</t>
  </si>
  <si>
    <t>תאריך</t>
  </si>
  <si>
    <t>הון מב"כ</t>
  </si>
  <si>
    <t>עודפים</t>
  </si>
  <si>
    <t>פקודות יומן</t>
  </si>
  <si>
    <t xml:space="preserve"> קיימים שני ערכים עיקריים לכל מניה</t>
  </si>
  <si>
    <t>קיימים שני מצבים עיקריים להנפקת מניות</t>
  </si>
  <si>
    <t>דו"ח על השינויים בהון עצמי</t>
  </si>
  <si>
    <t>נכסים</t>
  </si>
  <si>
    <t>יתרת רווח/ עודפים</t>
  </si>
  <si>
    <t>קרן הון -  פרמיה</t>
  </si>
  <si>
    <t>קרן הון שמורה</t>
  </si>
  <si>
    <t>תקבולים ע"ח אופציות</t>
  </si>
  <si>
    <t>ארועים הקשורים להון עצמי</t>
  </si>
  <si>
    <t>הון מניות רשום - סכום ההון המירבי שממנו יכולה החברה להנפיק מניות</t>
  </si>
  <si>
    <t>הון מניות מונפק -ההון שהונפק באופן מעשי לבעלי המניות</t>
  </si>
  <si>
    <t>הון מניות נפרע - החלק ששולם עבורו ע"י בעלי המניות</t>
  </si>
  <si>
    <t>ערך נקוב - הערך שנקוב על גבי המניה עצמה</t>
  </si>
  <si>
    <t>שווי שוק -  שויי המניה בבורסה / המחיר שישלם המשקיע עבור המניה</t>
  </si>
  <si>
    <t>שווי שוק המניה= ערכה הנקוב</t>
  </si>
  <si>
    <t>חברה הנפיקה 1,000 מניות בנות 1 ₪ ע.נ כ"א, תמורת 1,000 ₪</t>
  </si>
  <si>
    <t>ח. עו"ש</t>
  </si>
  <si>
    <t>ז. הון מניות</t>
  </si>
  <si>
    <t>חברה הנפיקה 1,000 מניות בנות 1 ₪ ע.נ כ"א, תמורת 1,700 ₪</t>
  </si>
  <si>
    <t>ז. פרמיה</t>
  </si>
  <si>
    <t xml:space="preserve">ערך נקוב </t>
  </si>
  <si>
    <t>שווי שוק</t>
  </si>
  <si>
    <t>ההפרש בין שווי שוק המניה לבין ערכה הנקוב ביום ההנפקה והמכירה</t>
  </si>
  <si>
    <t>הון מניות נפרע - ע..נ</t>
  </si>
  <si>
    <t>הוצאות לרשם, לחתם, לרו"ח.......</t>
  </si>
  <si>
    <t>הוצאות הנפקה בגין מניות מקוזזות תמיד מהפרמיה</t>
  </si>
  <si>
    <t>בהמשך לדוגמא 2 - הוצאות ההנפקה הסתכמו ל- 200 ₪</t>
  </si>
  <si>
    <t>ז. עו"ש</t>
  </si>
  <si>
    <t>ח. פרמיה</t>
  </si>
  <si>
    <t>אפשרות 2</t>
  </si>
  <si>
    <t>אפשרות 1</t>
  </si>
  <si>
    <t>חלוקת רווחים לבעלי המניות הקיימים בחברה</t>
  </si>
  <si>
    <t>ישנם שני מצבים להכרזה על דיבידנד</t>
  </si>
  <si>
    <t>הדיבדדנד הוכרז ושולם</t>
  </si>
  <si>
    <t>הדיבדדנד הוכרז ולא שולם</t>
  </si>
  <si>
    <t>ח. עודפים</t>
  </si>
  <si>
    <t>עו"ש</t>
  </si>
  <si>
    <t>ז. דיבידנד לשלם</t>
  </si>
  <si>
    <t>דיבידנד לשלם</t>
  </si>
  <si>
    <t>התחחיבויות</t>
  </si>
  <si>
    <t>הון עצמי</t>
  </si>
  <si>
    <t>ח. דיבידנד לשלם</t>
  </si>
  <si>
    <t>שנה הבאה - כשישולם</t>
  </si>
  <si>
    <t>מצב שבו החברה מחלקת לבעלי המניות הקיימים בחברה מניות נוספות ללא תמורה</t>
  </si>
  <si>
    <t>לפני חלוקה</t>
  </si>
  <si>
    <t>מספר מניות</t>
  </si>
  <si>
    <t>שווי מניה</t>
  </si>
  <si>
    <t>שווי החברה</t>
  </si>
  <si>
    <t>חלוקת הטבה של 100%</t>
  </si>
  <si>
    <t>לאחר החלוקה</t>
  </si>
  <si>
    <t>תרגיל 1 - שאלה 2</t>
  </si>
  <si>
    <t>הון מ"ר (2 ₪)</t>
  </si>
  <si>
    <t>קרן לחידוש ציוד</t>
  </si>
  <si>
    <t>הוצאות הנפקה</t>
  </si>
  <si>
    <t xml:space="preserve">הון מ"ר </t>
  </si>
  <si>
    <t>ז. הון מניות רגילות</t>
  </si>
  <si>
    <t>ז. הון מניות בכורה</t>
  </si>
  <si>
    <t xml:space="preserve">פרמיה </t>
  </si>
  <si>
    <t xml:space="preserve">פקודות יומן </t>
  </si>
  <si>
    <t>תרגיל 1 - שאלה 3</t>
  </si>
  <si>
    <t>ז. קרן הון שמורה</t>
  </si>
  <si>
    <t>1.1.26</t>
  </si>
  <si>
    <t>31.12.26</t>
  </si>
  <si>
    <t>1 ₪ ע.נ</t>
  </si>
  <si>
    <t>2 ₪ ע.נ</t>
  </si>
  <si>
    <t>1.2.26</t>
  </si>
  <si>
    <t>10,000*1=</t>
  </si>
  <si>
    <t>1.4.26</t>
  </si>
  <si>
    <t>5,000*2=</t>
  </si>
  <si>
    <t>ז.עו"ש</t>
  </si>
  <si>
    <t>15.7.26</t>
  </si>
  <si>
    <t>ח.פרמיה</t>
  </si>
  <si>
    <t>20%*60,000=</t>
  </si>
  <si>
    <t>רווח השנה</t>
  </si>
  <si>
    <t>דיבידנד</t>
  </si>
  <si>
    <t>1.1.25</t>
  </si>
  <si>
    <t>31.12.25</t>
  </si>
  <si>
    <t>1.2.25</t>
  </si>
  <si>
    <t>ח.עו"ש</t>
  </si>
  <si>
    <t>20%*180,000=</t>
  </si>
  <si>
    <t>10%*216,000=</t>
  </si>
  <si>
    <t>יתרת הון המניות ל- 31.12.25</t>
  </si>
  <si>
    <t>יתרת הפרמיה  ל- 31.12.25</t>
  </si>
  <si>
    <t xml:space="preserve"> ע.נ ₪ 100,000 </t>
  </si>
  <si>
    <t>ב- 31.12.25 החברה החליטה על חלוקת מניות הטבה בשיעור 20%, מתוך הפרמיה</t>
  </si>
  <si>
    <t>20%*100,000=</t>
  </si>
  <si>
    <t>סכום ההטבה = אחוז ההטבה*ערך נקוב הון מניות</t>
  </si>
  <si>
    <t>מצב שבו החברה מחליטה להקצות חלק מהרווחים שלה לטובת פרויקט מסוים - שיפןץ מבנה, חיודש ציוד</t>
  </si>
  <si>
    <t>-</t>
  </si>
  <si>
    <t xml:space="preserve">הסכם אופציה </t>
  </si>
  <si>
    <t>מחיר אופציה</t>
  </si>
  <si>
    <t>תוספת מימוש</t>
  </si>
  <si>
    <t>שנה וחצי</t>
  </si>
  <si>
    <t>שאלה לדוגמא</t>
  </si>
  <si>
    <t>הנפקת אופציות</t>
  </si>
  <si>
    <t>5,000*12=</t>
  </si>
  <si>
    <t>ז. תקבולים ע"ח אופציות</t>
  </si>
  <si>
    <t>מימוש אופציות</t>
  </si>
  <si>
    <t>כמה אופציות מומשו ביחידות?</t>
  </si>
  <si>
    <t>5,000*20%=</t>
  </si>
  <si>
    <t>1000*5=</t>
  </si>
  <si>
    <t>ח. תקבולים ע"ח אופציות</t>
  </si>
  <si>
    <t>1000*12=</t>
  </si>
  <si>
    <t>ערך נקוב</t>
  </si>
  <si>
    <t>1000*1*1=</t>
  </si>
  <si>
    <t>פקיעת אופציות</t>
  </si>
  <si>
    <t>1.4.25</t>
  </si>
  <si>
    <t>דוח על השינויים בהון העצמי - שאלה 2 בחוברת</t>
  </si>
  <si>
    <t>20%*30,000=</t>
  </si>
  <si>
    <t>25%*36,000=</t>
  </si>
  <si>
    <t>30,000*2=</t>
  </si>
  <si>
    <t>30,000*50%=</t>
  </si>
  <si>
    <t>יחס ההמרה</t>
  </si>
  <si>
    <t>1 ל- 1</t>
  </si>
  <si>
    <t>תוקף האופציה</t>
  </si>
  <si>
    <t>תוספת המימוש לכל אופציה הוא 5 ₪</t>
  </si>
  <si>
    <t>תוקף האופציה - 31.12.26</t>
  </si>
  <si>
    <t>כל אופציה ניתנת להמרה למניה 1 בת 1 ₪ ע.נ</t>
  </si>
  <si>
    <t>ב- 1.2.26 מומשו 20% מהאופציות</t>
  </si>
  <si>
    <t>חברה הנפיקה ומכרה ב- 1.4.25 5,000 אופציות במחיר 12 ₪ לאופציה</t>
  </si>
  <si>
    <t>ז.פרמיה</t>
  </si>
  <si>
    <t>P/N</t>
  </si>
  <si>
    <t>1000*16=</t>
  </si>
  <si>
    <t>ח.תקבולים ע"ח אופציות</t>
  </si>
  <si>
    <t>4,000*12=</t>
  </si>
  <si>
    <t>הון מניות (1 ₪ ע.נ)</t>
  </si>
  <si>
    <t>31.12.26/1.1.27</t>
  </si>
  <si>
    <t>1.1.27</t>
  </si>
  <si>
    <t xml:space="preserve">מחיר אופציה = 2 ₪ </t>
  </si>
  <si>
    <t>1.7.27</t>
  </si>
  <si>
    <t>מומשו 50%</t>
  </si>
  <si>
    <t>15000*6=</t>
  </si>
  <si>
    <t>15000*2=</t>
  </si>
  <si>
    <t>15000*1*1=</t>
  </si>
  <si>
    <t>1.10.17</t>
  </si>
  <si>
    <t>31.12.17</t>
  </si>
  <si>
    <t>30%*56,000=</t>
  </si>
  <si>
    <t>1.10.27</t>
  </si>
  <si>
    <t>רווח 2027</t>
  </si>
  <si>
    <t>דיבידנד 2027</t>
  </si>
  <si>
    <t>31.12.27</t>
  </si>
  <si>
    <t>תאריך/ פרטים</t>
  </si>
  <si>
    <t>הון מ"ר (1 ₪ ע.נ)</t>
  </si>
  <si>
    <t>הון מב"כ (1 ₪ ע.נ)</t>
  </si>
  <si>
    <t xml:space="preserve">תקבולים ע"ח אופציות </t>
  </si>
  <si>
    <t xml:space="preserve">דיבידנד </t>
  </si>
  <si>
    <t>דוח על השינויים בהון לעצמי ל- 31.12.25 - חברת עומר בע"מ</t>
  </si>
  <si>
    <t>רווח 2025</t>
  </si>
  <si>
    <t>דיבידנד 2025</t>
  </si>
  <si>
    <t>1.3.25</t>
  </si>
  <si>
    <t>15.4.25</t>
  </si>
  <si>
    <t>1.7.25</t>
  </si>
  <si>
    <t>1.9.25</t>
  </si>
  <si>
    <t>שאלה 1</t>
  </si>
  <si>
    <t>הון מ"ר (2 ₪ ע.נ)</t>
  </si>
  <si>
    <t>שאלה 2</t>
  </si>
  <si>
    <t>דוח על השינויים בהון העצמי ליום ה - 31.12.25 - חברת שנירי בע"מ</t>
  </si>
  <si>
    <t>הפסד 2025</t>
  </si>
  <si>
    <t>15.2.25</t>
  </si>
  <si>
    <t>1.5.25</t>
  </si>
  <si>
    <t>30.11.25</t>
  </si>
  <si>
    <t>50%*680,000=</t>
  </si>
  <si>
    <t>ז. קרן לחידוש ציוד</t>
  </si>
  <si>
    <t>30,000*3=</t>
  </si>
  <si>
    <t>50,000*1=</t>
  </si>
  <si>
    <t>20%*300,000=</t>
  </si>
  <si>
    <t>6,000*4=</t>
  </si>
  <si>
    <t>6,000*3=</t>
  </si>
  <si>
    <t>6,000*1*1=</t>
  </si>
  <si>
    <t>216,000-21,600</t>
  </si>
  <si>
    <t>מניות ההטבה יכולות להיות מחולקות מתוך הפרמיה / מתוך העודפים</t>
  </si>
  <si>
    <t>6,000*6=</t>
  </si>
  <si>
    <t>השקעות במניות</t>
  </si>
  <si>
    <t>השקעה בני"ע סחירים</t>
  </si>
  <si>
    <t>פרטים</t>
  </si>
  <si>
    <t>יתרה</t>
  </si>
  <si>
    <t>חישוב</t>
  </si>
  <si>
    <t>רכישה</t>
  </si>
  <si>
    <t>30,000*22=</t>
  </si>
  <si>
    <t>רווח מעליית ערך</t>
  </si>
  <si>
    <t>30,000*24=</t>
  </si>
  <si>
    <t>הפסד מירידת ערך</t>
  </si>
  <si>
    <t>30,000*19=</t>
  </si>
  <si>
    <t>1.10.15</t>
  </si>
  <si>
    <t>30,000*17=</t>
  </si>
  <si>
    <t>30,000*26=</t>
  </si>
  <si>
    <t>נדרש א</t>
  </si>
  <si>
    <t>נדרש ג</t>
  </si>
  <si>
    <t>דוח רווה"פ</t>
  </si>
  <si>
    <t>מאזן</t>
  </si>
  <si>
    <t>רבעון 1</t>
  </si>
  <si>
    <t>רבעון 2</t>
  </si>
  <si>
    <t>רבעון 3</t>
  </si>
  <si>
    <t>רבעון 4</t>
  </si>
  <si>
    <t>30,000*10=</t>
  </si>
  <si>
    <t>ז. הכנסות מדיבידנד</t>
  </si>
  <si>
    <t>פקודת יומן</t>
  </si>
  <si>
    <t>השקעות לזמן קצר = השקעות בני"ע סחירים ----- נכסים שוטפים</t>
  </si>
  <si>
    <t>השקעות לזמן ארוך = השקעות בשיטת שווי מאזני ----- נכסים לא שוטפים</t>
  </si>
  <si>
    <t>כאשר חברה רוכשת מניות של חברה אחרת במטרה להחזיק בהן במהלך הזמן הקצר בלבד לצורכי מסחר</t>
  </si>
  <si>
    <t>החברה הרוכשת תכיר בהשקעה זו כנכס שוטף = "השקעה בני"ע סחירים"</t>
  </si>
  <si>
    <t>הטיפול החשבונאי בני"ע סחירים</t>
  </si>
  <si>
    <t>ביום הרכישה ההשקעה תרשם לפי עלותה = שווי שוק</t>
  </si>
  <si>
    <t>מדי רבעון/ שנה יש לעדכן את שווי ההשקעה בהתאם לשווי שוק המניה ליום המאזן</t>
  </si>
  <si>
    <t>השינויים יזקפו לדוח רווח והפסד</t>
  </si>
  <si>
    <t>רווח מעליית ערך ----- הכנסות מימון</t>
  </si>
  <si>
    <t>הפסד מירידת ערך-----הוצאות מימון</t>
  </si>
  <si>
    <t>בנוסף ישנה הכנסה צפויה מההקשעה ---- הכנסות מדיבידנד ----- הכנסות מימון</t>
  </si>
  <si>
    <t xml:space="preserve">"השקעה בשניר" - בדוחות של חברת עומר </t>
  </si>
  <si>
    <t>יתרת ההשקעה</t>
  </si>
  <si>
    <t>ח. השקעה בני"ע סחירים - שניר</t>
  </si>
  <si>
    <t>ז. רווח עליית ערך</t>
  </si>
  <si>
    <t>השקעה בשניר</t>
  </si>
  <si>
    <t>ז. השקעה בני"ע סחירים - שניר</t>
  </si>
  <si>
    <t>ח. הפסד מירידת ערך</t>
  </si>
  <si>
    <t>נדרש ב</t>
  </si>
  <si>
    <t xml:space="preserve">יתרת ההשקעה בני"ע סחירים - שניר </t>
  </si>
  <si>
    <t>(הוצאות) / הכנסות מימון</t>
  </si>
  <si>
    <t>קבלת דיבידנד - 31.12.25</t>
  </si>
  <si>
    <t xml:space="preserve"> 300,000 + 270,000</t>
  </si>
  <si>
    <t>**** יש לשים לב שלמרות שבדוח רווח והפסד נדווח ברבעון ה- 4 570,000 ₪ . רק 300,000 מתוכם יכללו במזומנים (עו"ש)</t>
  </si>
  <si>
    <t>שווי ההשקעה מבוסס אך רק על שווי שוק המניה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</si>
</sst>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_ ;_ * \-#,##0_ ;_ * &quot;-&quot;?_ ;_ @_ 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u val="singleAccounting"/>
      <sz val="16"/>
      <color theme="1"/>
      <name val="David"/>
      <family val="2"/>
    </font>
    <font>
      <b/>
      <u val="singleAccounting"/>
      <sz val="14"/>
      <color theme="1"/>
      <name val="David"/>
      <family val="2"/>
    </font>
    <font>
      <sz val="14"/>
      <color theme="1"/>
      <name val="David"/>
      <family val="2"/>
    </font>
    <font>
      <u val="singleAccounting"/>
      <sz val="14"/>
      <color theme="1"/>
      <name val="David"/>
      <family val="2"/>
    </font>
    <font>
      <u/>
      <sz val="14"/>
      <color theme="1"/>
      <name val="David"/>
      <family val="2"/>
    </font>
    <font>
      <b/>
      <sz val="14"/>
      <color theme="1"/>
      <name val="David"/>
      <family val="2"/>
    </font>
    <font>
      <sz val="11"/>
      <color theme="1"/>
      <name val="Arial"/>
      <family val="2"/>
      <charset val="177"/>
      <scheme val="minor"/>
    </font>
    <font>
      <sz val="14"/>
      <color theme="1"/>
      <name val="David"/>
      <family val="2"/>
      <charset val="177"/>
    </font>
    <font>
      <b/>
      <u/>
      <sz val="14"/>
      <color theme="1"/>
      <name val="David"/>
      <family val="2"/>
      <charset val="177"/>
    </font>
    <font>
      <b/>
      <sz val="14"/>
      <color theme="1"/>
      <name val="David"/>
      <family val="2"/>
      <charset val="177"/>
    </font>
    <font>
      <sz val="14"/>
      <color theme="1"/>
      <name val="Arial"/>
      <family val="2"/>
      <scheme val="minor"/>
    </font>
    <font>
      <u/>
      <sz val="14"/>
      <color theme="1"/>
      <name val="David"/>
      <family val="2"/>
      <charset val="177"/>
    </font>
    <font>
      <sz val="8"/>
      <name val="Arial"/>
      <family val="2"/>
      <charset val="177"/>
      <scheme val="minor"/>
    </font>
    <font>
      <sz val="12"/>
      <color theme="1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</cellStyleXfs>
  <cellXfs count="146">
    <xf numFmtId="0" fontId="0" fillId="0" borderId="0" xfId="0"/>
    <xf numFmtId="164" fontId="4" fillId="0" borderId="0" xfId="1" applyNumberFormat="1" applyFont="1"/>
    <xf numFmtId="164" fontId="4" fillId="0" borderId="0" xfId="1" applyNumberFormat="1" applyFont="1" applyFill="1" applyBorder="1"/>
    <xf numFmtId="164" fontId="5" fillId="0" borderId="0" xfId="1" applyNumberFormat="1" applyFont="1"/>
    <xf numFmtId="164" fontId="4" fillId="0" borderId="1" xfId="1" applyNumberFormat="1" applyFont="1" applyBorder="1"/>
    <xf numFmtId="164" fontId="5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/>
    <xf numFmtId="164" fontId="5" fillId="0" borderId="0" xfId="1" applyNumberFormat="1" applyFont="1" applyFill="1" applyBorder="1" applyAlignment="1"/>
    <xf numFmtId="164" fontId="7" fillId="0" borderId="0" xfId="1" applyNumberFormat="1" applyFont="1" applyFill="1" applyBorder="1"/>
    <xf numFmtId="164" fontId="7" fillId="0" borderId="0" xfId="1" applyNumberFormat="1" applyFont="1" applyFill="1" applyBorder="1" applyAlignment="1"/>
    <xf numFmtId="164" fontId="3" fillId="0" borderId="1" xfId="1" applyNumberFormat="1" applyFont="1" applyBorder="1"/>
    <xf numFmtId="164" fontId="7" fillId="0" borderId="1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7" fillId="0" borderId="1" xfId="1" applyNumberFormat="1" applyFont="1" applyBorder="1"/>
    <xf numFmtId="164" fontId="4" fillId="0" borderId="3" xfId="1" applyNumberFormat="1" applyFont="1" applyFill="1" applyBorder="1"/>
    <xf numFmtId="164" fontId="4" fillId="0" borderId="4" xfId="1" applyNumberFormat="1" applyFont="1" applyFill="1" applyBorder="1"/>
    <xf numFmtId="164" fontId="4" fillId="2" borderId="0" xfId="1" applyNumberFormat="1" applyFont="1" applyFill="1" applyBorder="1"/>
    <xf numFmtId="164" fontId="4" fillId="0" borderId="0" xfId="1" applyNumberFormat="1" applyFont="1" applyFill="1" applyBorder="1" applyAlignment="1"/>
    <xf numFmtId="164" fontId="4" fillId="0" borderId="0" xfId="1" applyNumberFormat="1" applyFont="1" applyFill="1" applyBorder="1" applyAlignment="1">
      <alignment horizontal="right"/>
    </xf>
    <xf numFmtId="164" fontId="4" fillId="0" borderId="5" xfId="1" applyNumberFormat="1" applyFont="1" applyFill="1" applyBorder="1"/>
    <xf numFmtId="164" fontId="4" fillId="0" borderId="9" xfId="1" applyNumberFormat="1" applyFont="1" applyFill="1" applyBorder="1"/>
    <xf numFmtId="164" fontId="4" fillId="0" borderId="6" xfId="1" applyNumberFormat="1" applyFont="1" applyFill="1" applyBorder="1"/>
    <xf numFmtId="164" fontId="4" fillId="0" borderId="10" xfId="1" applyNumberFormat="1" applyFont="1" applyFill="1" applyBorder="1"/>
    <xf numFmtId="164" fontId="4" fillId="0" borderId="11" xfId="1" applyNumberFormat="1" applyFont="1" applyFill="1" applyBorder="1"/>
    <xf numFmtId="164" fontId="4" fillId="0" borderId="7" xfId="1" applyNumberFormat="1" applyFont="1" applyFill="1" applyBorder="1"/>
    <xf numFmtId="164" fontId="4" fillId="0" borderId="12" xfId="1" applyNumberFormat="1" applyFont="1" applyFill="1" applyBorder="1"/>
    <xf numFmtId="164" fontId="4" fillId="0" borderId="8" xfId="1" applyNumberFormat="1" applyFont="1" applyFill="1" applyBorder="1"/>
    <xf numFmtId="164" fontId="7" fillId="2" borderId="0" xfId="1" applyNumberFormat="1" applyFont="1" applyFill="1" applyBorder="1"/>
    <xf numFmtId="0" fontId="9" fillId="0" borderId="0" xfId="2" applyFont="1"/>
    <xf numFmtId="0" fontId="10" fillId="0" borderId="1" xfId="2" applyFont="1" applyBorder="1"/>
    <xf numFmtId="0" fontId="9" fillId="0" borderId="13" xfId="2" applyFont="1" applyBorder="1" applyAlignment="1">
      <alignment horizontal="center"/>
    </xf>
    <xf numFmtId="164" fontId="9" fillId="0" borderId="1" xfId="1" applyNumberFormat="1" applyFont="1" applyBorder="1" applyAlignment="1"/>
    <xf numFmtId="0" fontId="9" fillId="0" borderId="13" xfId="2" applyFont="1" applyBorder="1"/>
    <xf numFmtId="164" fontId="9" fillId="0" borderId="14" xfId="1" applyNumberFormat="1" applyFont="1" applyBorder="1" applyAlignment="1"/>
    <xf numFmtId="0" fontId="11" fillId="0" borderId="13" xfId="2" applyFont="1" applyBorder="1" applyAlignment="1">
      <alignment horizontal="center"/>
    </xf>
    <xf numFmtId="164" fontId="11" fillId="0" borderId="1" xfId="1" applyNumberFormat="1" applyFont="1" applyBorder="1" applyAlignment="1"/>
    <xf numFmtId="0" fontId="12" fillId="0" borderId="1" xfId="2" applyFont="1" applyBorder="1"/>
    <xf numFmtId="0" fontId="9" fillId="0" borderId="1" xfId="2" applyFont="1" applyBorder="1" applyAlignment="1">
      <alignment horizontal="right"/>
    </xf>
    <xf numFmtId="0" fontId="11" fillId="0" borderId="1" xfId="2" applyFont="1" applyBorder="1" applyAlignment="1">
      <alignment horizontal="center"/>
    </xf>
    <xf numFmtId="164" fontId="11" fillId="0" borderId="14" xfId="1" applyNumberFormat="1" applyFont="1" applyBorder="1" applyAlignment="1"/>
    <xf numFmtId="0" fontId="9" fillId="0" borderId="1" xfId="2" applyFont="1" applyBorder="1" applyAlignment="1">
      <alignment horizontal="center"/>
    </xf>
    <xf numFmtId="0" fontId="9" fillId="0" borderId="1" xfId="2" applyFont="1" applyBorder="1"/>
    <xf numFmtId="164" fontId="11" fillId="0" borderId="1" xfId="2" applyNumberFormat="1" applyFont="1" applyBorder="1"/>
    <xf numFmtId="0" fontId="13" fillId="0" borderId="0" xfId="2" applyFont="1"/>
    <xf numFmtId="164" fontId="9" fillId="0" borderId="0" xfId="1" applyNumberFormat="1" applyFont="1" applyBorder="1"/>
    <xf numFmtId="165" fontId="9" fillId="0" borderId="0" xfId="2" applyNumberFormat="1" applyFont="1"/>
    <xf numFmtId="164" fontId="4" fillId="3" borderId="0" xfId="1" applyNumberFormat="1" applyFont="1" applyFill="1"/>
    <xf numFmtId="9" fontId="4" fillId="0" borderId="0" xfId="3" applyFont="1"/>
    <xf numFmtId="0" fontId="4" fillId="3" borderId="0" xfId="1" applyNumberFormat="1" applyFont="1" applyFill="1"/>
    <xf numFmtId="0" fontId="4" fillId="0" borderId="0" xfId="1" applyNumberFormat="1" applyFont="1" applyFill="1" applyBorder="1"/>
    <xf numFmtId="0" fontId="4" fillId="0" borderId="0" xfId="1" applyNumberFormat="1" applyFont="1" applyFill="1" applyBorder="1" applyAlignment="1"/>
    <xf numFmtId="0" fontId="3" fillId="4" borderId="1" xfId="1" applyNumberFormat="1" applyFont="1" applyFill="1" applyBorder="1"/>
    <xf numFmtId="164" fontId="15" fillId="0" borderId="0" xfId="1" applyNumberFormat="1" applyFont="1"/>
    <xf numFmtId="0" fontId="4" fillId="0" borderId="0" xfId="1" applyNumberFormat="1" applyFont="1"/>
    <xf numFmtId="164" fontId="3" fillId="0" borderId="0" xfId="1" applyNumberFormat="1" applyFont="1"/>
    <xf numFmtId="164" fontId="5" fillId="0" borderId="1" xfId="1" applyNumberFormat="1" applyFont="1" applyBorder="1"/>
    <xf numFmtId="0" fontId="4" fillId="0" borderId="0" xfId="1" applyNumberFormat="1" applyFont="1" applyFill="1"/>
    <xf numFmtId="164" fontId="4" fillId="0" borderId="0" xfId="1" applyNumberFormat="1" applyFont="1" applyFill="1"/>
    <xf numFmtId="0" fontId="3" fillId="0" borderId="1" xfId="1" applyNumberFormat="1" applyFont="1" applyBorder="1"/>
    <xf numFmtId="164" fontId="4" fillId="0" borderId="0" xfId="1" applyNumberFormat="1" applyFont="1" applyBorder="1"/>
    <xf numFmtId="164" fontId="4" fillId="0" borderId="2" xfId="1" applyNumberFormat="1" applyFont="1" applyFill="1" applyBorder="1"/>
    <xf numFmtId="164" fontId="7" fillId="2" borderId="18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horizontal="right"/>
    </xf>
    <xf numFmtId="164" fontId="4" fillId="0" borderId="10" xfId="1" applyNumberFormat="1" applyFont="1" applyBorder="1"/>
    <xf numFmtId="164" fontId="4" fillId="0" borderId="11" xfId="1" applyNumberFormat="1" applyFont="1" applyBorder="1"/>
    <xf numFmtId="164" fontId="4" fillId="0" borderId="7" xfId="1" applyNumberFormat="1" applyFont="1" applyBorder="1"/>
    <xf numFmtId="164" fontId="4" fillId="0" borderId="8" xfId="1" applyNumberFormat="1" applyFont="1" applyBorder="1"/>
    <xf numFmtId="164" fontId="7" fillId="2" borderId="18" xfId="1" applyNumberFormat="1" applyFont="1" applyFill="1" applyBorder="1"/>
    <xf numFmtId="164" fontId="3" fillId="0" borderId="0" xfId="1" applyNumberFormat="1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7" fillId="0" borderId="0" xfId="1" applyNumberFormat="1" applyFont="1" applyBorder="1"/>
    <xf numFmtId="164" fontId="4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/>
    <xf numFmtId="164" fontId="4" fillId="0" borderId="1" xfId="1" applyNumberFormat="1" applyFont="1" applyFill="1" applyBorder="1"/>
    <xf numFmtId="164" fontId="5" fillId="0" borderId="0" xfId="1" applyNumberFormat="1" applyFont="1" applyFill="1"/>
    <xf numFmtId="0" fontId="7" fillId="0" borderId="0" xfId="1" applyNumberFormat="1" applyFont="1" applyFill="1" applyBorder="1"/>
    <xf numFmtId="164" fontId="4" fillId="0" borderId="5" xfId="1" applyNumberFormat="1" applyFont="1" applyBorder="1"/>
    <xf numFmtId="164" fontId="4" fillId="0" borderId="19" xfId="1" applyNumberFormat="1" applyFont="1" applyBorder="1"/>
    <xf numFmtId="164" fontId="4" fillId="0" borderId="6" xfId="1" applyNumberFormat="1" applyFont="1" applyBorder="1"/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Fill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0" fontId="4" fillId="0" borderId="2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right"/>
    </xf>
    <xf numFmtId="0" fontId="4" fillId="0" borderId="10" xfId="1" applyNumberFormat="1" applyFont="1" applyBorder="1" applyAlignment="1">
      <alignment horizontal="right"/>
    </xf>
    <xf numFmtId="0" fontId="4" fillId="0" borderId="0" xfId="1" applyNumberFormat="1" applyFont="1" applyBorder="1" applyAlignment="1">
      <alignment horizontal="right"/>
    </xf>
    <xf numFmtId="0" fontId="4" fillId="0" borderId="11" xfId="1" applyNumberFormat="1" applyFont="1" applyBorder="1" applyAlignment="1">
      <alignment horizontal="right"/>
    </xf>
    <xf numFmtId="164" fontId="4" fillId="0" borderId="10" xfId="1" applyNumberFormat="1" applyFont="1" applyBorder="1" applyAlignment="1">
      <alignment horizontal="right"/>
    </xf>
    <xf numFmtId="164" fontId="4" fillId="0" borderId="0" xfId="1" applyNumberFormat="1" applyFont="1" applyBorder="1" applyAlignment="1">
      <alignment horizontal="right"/>
    </xf>
    <xf numFmtId="164" fontId="4" fillId="0" borderId="11" xfId="1" applyNumberFormat="1" applyFont="1" applyBorder="1" applyAlignment="1">
      <alignment horizontal="right"/>
    </xf>
    <xf numFmtId="164" fontId="4" fillId="0" borderId="5" xfId="1" applyNumberFormat="1" applyFont="1" applyBorder="1" applyAlignment="1"/>
    <xf numFmtId="164" fontId="4" fillId="0" borderId="9" xfId="1" applyNumberFormat="1" applyFont="1" applyBorder="1" applyAlignment="1"/>
    <xf numFmtId="164" fontId="4" fillId="0" borderId="6" xfId="1" applyNumberFormat="1" applyFont="1" applyBorder="1" applyAlignment="1"/>
    <xf numFmtId="164" fontId="2" fillId="0" borderId="0" xfId="1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4" fontId="7" fillId="2" borderId="15" xfId="1" applyNumberFormat="1" applyFont="1" applyFill="1" applyBorder="1" applyAlignment="1">
      <alignment horizontal="center"/>
    </xf>
    <xf numFmtId="164" fontId="7" fillId="2" borderId="16" xfId="1" applyNumberFormat="1" applyFont="1" applyFill="1" applyBorder="1" applyAlignment="1">
      <alignment horizontal="center"/>
    </xf>
    <xf numFmtId="164" fontId="7" fillId="2" borderId="17" xfId="1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right"/>
    </xf>
    <xf numFmtId="164" fontId="3" fillId="0" borderId="0" xfId="1" applyNumberFormat="1" applyFont="1" applyFill="1" applyAlignment="1"/>
    <xf numFmtId="164" fontId="5" fillId="0" borderId="0" xfId="1" applyNumberFormat="1" applyFont="1" applyFill="1" applyAlignment="1">
      <alignment horizontal="center"/>
    </xf>
    <xf numFmtId="164" fontId="5" fillId="0" borderId="0" xfId="1" applyNumberFormat="1" applyFont="1" applyFill="1" applyAlignment="1"/>
    <xf numFmtId="164" fontId="5" fillId="0" borderId="0" xfId="1" applyNumberFormat="1" applyFont="1" applyFill="1" applyAlignment="1">
      <alignment horizontal="center"/>
    </xf>
    <xf numFmtId="164" fontId="3" fillId="0" borderId="1" xfId="1" applyNumberFormat="1" applyFont="1" applyFill="1" applyBorder="1"/>
    <xf numFmtId="164" fontId="4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64" fontId="3" fillId="5" borderId="0" xfId="1" applyNumberFormat="1" applyFont="1" applyFill="1" applyAlignment="1">
      <alignment horizontal="center"/>
    </xf>
    <xf numFmtId="164" fontId="7" fillId="0" borderId="5" xfId="1" applyNumberFormat="1" applyFont="1" applyFill="1" applyBorder="1"/>
    <xf numFmtId="164" fontId="7" fillId="0" borderId="9" xfId="1" applyNumberFormat="1" applyFont="1" applyFill="1" applyBorder="1"/>
    <xf numFmtId="164" fontId="3" fillId="0" borderId="9" xfId="1" applyNumberFormat="1" applyFont="1" applyFill="1" applyBorder="1" applyAlignment="1">
      <alignment horizontal="center"/>
    </xf>
    <xf numFmtId="164" fontId="3" fillId="0" borderId="6" xfId="1" applyNumberFormat="1" applyFon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horizontal="right"/>
    </xf>
    <xf numFmtId="164" fontId="7" fillId="0" borderId="11" xfId="1" applyNumberFormat="1" applyFont="1" applyFill="1" applyBorder="1" applyAlignment="1">
      <alignment horizontal="right"/>
    </xf>
    <xf numFmtId="164" fontId="7" fillId="0" borderId="10" xfId="1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horizontal="right"/>
    </xf>
    <xf numFmtId="164" fontId="7" fillId="0" borderId="11" xfId="1" applyNumberFormat="1" applyFont="1" applyFill="1" applyBorder="1" applyAlignment="1">
      <alignment horizontal="right"/>
    </xf>
    <xf numFmtId="164" fontId="7" fillId="0" borderId="7" xfId="1" applyNumberFormat="1" applyFont="1" applyFill="1" applyBorder="1" applyAlignment="1">
      <alignment horizontal="right"/>
    </xf>
    <xf numFmtId="164" fontId="7" fillId="0" borderId="12" xfId="1" applyNumberFormat="1" applyFont="1" applyFill="1" applyBorder="1" applyAlignment="1">
      <alignment horizontal="right"/>
    </xf>
    <xf numFmtId="164" fontId="7" fillId="0" borderId="8" xfId="1" applyNumberFormat="1" applyFont="1" applyFill="1" applyBorder="1" applyAlignment="1">
      <alignment horizontal="right"/>
    </xf>
    <xf numFmtId="0" fontId="3" fillId="0" borderId="0" xfId="1" applyNumberFormat="1" applyFont="1" applyFill="1" applyAlignment="1">
      <alignment horizontal="center"/>
    </xf>
    <xf numFmtId="164" fontId="4" fillId="0" borderId="21" xfId="1" applyNumberFormat="1" applyFont="1" applyFill="1" applyBorder="1"/>
    <xf numFmtId="164" fontId="4" fillId="0" borderId="22" xfId="1" applyNumberFormat="1" applyFont="1" applyFill="1" applyBorder="1"/>
    <xf numFmtId="164" fontId="4" fillId="0" borderId="20" xfId="1" applyNumberFormat="1" applyFont="1" applyFill="1" applyBorder="1"/>
    <xf numFmtId="164" fontId="4" fillId="0" borderId="23" xfId="1" applyNumberFormat="1" applyFont="1" applyFill="1" applyBorder="1" applyAlignment="1">
      <alignment horizontal="center"/>
    </xf>
    <xf numFmtId="164" fontId="5" fillId="0" borderId="20" xfId="1" applyNumberFormat="1" applyFont="1" applyFill="1" applyBorder="1"/>
    <xf numFmtId="164" fontId="4" fillId="6" borderId="1" xfId="1" applyNumberFormat="1" applyFont="1" applyFill="1" applyBorder="1"/>
    <xf numFmtId="164" fontId="4" fillId="6" borderId="0" xfId="1" applyNumberFormat="1" applyFont="1" applyFill="1"/>
    <xf numFmtId="164" fontId="7" fillId="0" borderId="0" xfId="1" applyNumberFormat="1" applyFont="1" applyFill="1" applyAlignment="1">
      <alignment horizontal="center"/>
    </xf>
    <xf numFmtId="164" fontId="4" fillId="0" borderId="1" xfId="1" applyNumberFormat="1" applyFont="1" applyFill="1" applyBorder="1" applyAlignment="1"/>
    <xf numFmtId="164" fontId="3" fillId="0" borderId="24" xfId="1" applyNumberFormat="1" applyFont="1" applyFill="1" applyBorder="1" applyAlignment="1">
      <alignment horizontal="center"/>
    </xf>
    <xf numFmtId="164" fontId="4" fillId="7" borderId="1" xfId="1" applyNumberFormat="1" applyFont="1" applyFill="1" applyBorder="1" applyAlignment="1">
      <alignment horizontal="center"/>
    </xf>
    <xf numFmtId="164" fontId="4" fillId="7" borderId="1" xfId="1" applyNumberFormat="1" applyFont="1" applyFill="1" applyBorder="1"/>
    <xf numFmtId="164" fontId="4" fillId="0" borderId="1" xfId="1" applyNumberFormat="1" applyFont="1" applyFill="1" applyBorder="1" applyAlignment="1">
      <alignment horizontal="right"/>
    </xf>
    <xf numFmtId="0" fontId="4" fillId="0" borderId="0" xfId="1" applyNumberFormat="1" applyFont="1" applyFill="1" applyAlignment="1">
      <alignment horizontal="right"/>
    </xf>
  </cellXfs>
  <cellStyles count="4">
    <cellStyle name="Comma" xfId="1" builtinId="3"/>
    <cellStyle name="Normal" xfId="0" builtinId="0"/>
    <cellStyle name="Normal 2" xfId="2" xr:uid="{80FF0662-E7EC-4A30-86BF-3B27FA41623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6D4-3D89-418C-B242-69FBAD1D06C2}">
  <dimension ref="B2:K140"/>
  <sheetViews>
    <sheetView rightToLeft="1" zoomScaleNormal="100" workbookViewId="0">
      <selection activeCell="C4" sqref="C4"/>
    </sheetView>
  </sheetViews>
  <sheetFormatPr defaultRowHeight="18" x14ac:dyDescent="0.4"/>
  <cols>
    <col min="1" max="1" width="8.6640625" style="2"/>
    <col min="2" max="2" width="28.58203125" style="2" customWidth="1"/>
    <col min="3" max="3" width="28" style="2" customWidth="1"/>
    <col min="4" max="4" width="18.9140625" style="2" customWidth="1"/>
    <col min="5" max="5" width="24.4140625" style="2" customWidth="1"/>
    <col min="6" max="6" width="13" style="2" bestFit="1" customWidth="1"/>
    <col min="7" max="7" width="8.6640625" style="2"/>
    <col min="8" max="8" width="10.58203125" style="2" customWidth="1"/>
    <col min="9" max="9" width="10.75" style="2" customWidth="1"/>
    <col min="10" max="10" width="8.4140625" style="2" customWidth="1"/>
    <col min="11" max="16384" width="8.6640625" style="2"/>
  </cols>
  <sheetData>
    <row r="2" spans="2:11" ht="23.5" x14ac:dyDescent="0.75">
      <c r="B2" s="101" t="s">
        <v>16</v>
      </c>
      <c r="C2" s="101"/>
      <c r="D2" s="101"/>
      <c r="E2" s="101"/>
    </row>
    <row r="3" spans="2:11" ht="18.5" thickBot="1" x14ac:dyDescent="0.45"/>
    <row r="4" spans="2:11" x14ac:dyDescent="0.4">
      <c r="C4" s="61" t="s">
        <v>37</v>
      </c>
    </row>
    <row r="5" spans="2:11" ht="21" x14ac:dyDescent="0.7">
      <c r="C5" s="15" t="s">
        <v>19</v>
      </c>
      <c r="J5" s="5"/>
      <c r="K5" s="5"/>
    </row>
    <row r="6" spans="2:11" ht="21" x14ac:dyDescent="0.7">
      <c r="C6" s="15" t="s">
        <v>20</v>
      </c>
      <c r="F6" s="5" t="s">
        <v>17</v>
      </c>
      <c r="H6" s="5" t="s">
        <v>53</v>
      </c>
    </row>
    <row r="7" spans="2:11" x14ac:dyDescent="0.4">
      <c r="C7" s="15" t="s">
        <v>21</v>
      </c>
      <c r="F7" s="2" t="s">
        <v>50</v>
      </c>
    </row>
    <row r="8" spans="2:11" ht="21" x14ac:dyDescent="0.7">
      <c r="C8" s="15" t="s">
        <v>18</v>
      </c>
      <c r="H8" s="2" t="s">
        <v>52</v>
      </c>
      <c r="I8" s="5"/>
    </row>
    <row r="9" spans="2:11" ht="18.5" thickBot="1" x14ac:dyDescent="0.45">
      <c r="C9" s="16"/>
    </row>
    <row r="10" spans="2:11" ht="21" x14ac:dyDescent="0.7">
      <c r="H10" s="5" t="s">
        <v>54</v>
      </c>
    </row>
    <row r="11" spans="2:11" ht="21" x14ac:dyDescent="0.7">
      <c r="B11" s="89" t="s">
        <v>22</v>
      </c>
      <c r="C11" s="89"/>
      <c r="D11" s="89"/>
      <c r="H11" s="2" t="s">
        <v>12</v>
      </c>
    </row>
    <row r="12" spans="2:11" ht="21" x14ac:dyDescent="0.7">
      <c r="B12" s="6"/>
      <c r="C12" s="6"/>
      <c r="D12" s="6"/>
    </row>
    <row r="13" spans="2:11" ht="21" x14ac:dyDescent="0.7">
      <c r="B13" s="89" t="s">
        <v>0</v>
      </c>
      <c r="C13" s="89"/>
      <c r="D13" s="7"/>
      <c r="E13" s="7"/>
    </row>
    <row r="15" spans="2:11" x14ac:dyDescent="0.4">
      <c r="B15" s="2" t="s">
        <v>23</v>
      </c>
      <c r="F15" s="2">
        <v>300000</v>
      </c>
    </row>
    <row r="16" spans="2:11" x14ac:dyDescent="0.4">
      <c r="B16" s="2" t="s">
        <v>24</v>
      </c>
      <c r="F16" s="2">
        <v>70000</v>
      </c>
    </row>
    <row r="17" spans="2:6" x14ac:dyDescent="0.4">
      <c r="B17" s="17" t="s">
        <v>25</v>
      </c>
      <c r="C17" s="17"/>
      <c r="D17" s="17"/>
      <c r="E17" s="17"/>
      <c r="F17" s="17">
        <v>40000</v>
      </c>
    </row>
    <row r="19" spans="2:6" x14ac:dyDescent="0.4">
      <c r="B19" s="102" t="s">
        <v>14</v>
      </c>
      <c r="C19" s="102"/>
      <c r="D19" s="102"/>
    </row>
    <row r="21" spans="2:6" x14ac:dyDescent="0.4">
      <c r="B21" s="2" t="s">
        <v>26</v>
      </c>
    </row>
    <row r="22" spans="2:6" x14ac:dyDescent="0.4">
      <c r="B22" s="2" t="s">
        <v>27</v>
      </c>
    </row>
    <row r="24" spans="2:6" ht="21" x14ac:dyDescent="0.7">
      <c r="B24" s="108" t="s">
        <v>15</v>
      </c>
      <c r="C24" s="108"/>
      <c r="D24" s="8"/>
      <c r="E24" s="8"/>
    </row>
    <row r="26" spans="2:6" x14ac:dyDescent="0.4">
      <c r="B26" s="106" t="s">
        <v>28</v>
      </c>
      <c r="C26" s="106"/>
    </row>
    <row r="28" spans="2:6" x14ac:dyDescent="0.4">
      <c r="B28" s="2" t="s">
        <v>29</v>
      </c>
    </row>
    <row r="29" spans="2:6" x14ac:dyDescent="0.4">
      <c r="B29" s="9"/>
    </row>
    <row r="30" spans="2:6" x14ac:dyDescent="0.4">
      <c r="B30" s="2" t="s">
        <v>30</v>
      </c>
      <c r="C30" s="2">
        <v>1000</v>
      </c>
    </row>
    <row r="31" spans="2:6" x14ac:dyDescent="0.4">
      <c r="B31" s="2" t="s">
        <v>31</v>
      </c>
      <c r="C31" s="2">
        <v>1000</v>
      </c>
    </row>
    <row r="33" spans="2:6" x14ac:dyDescent="0.4">
      <c r="B33" s="2" t="s">
        <v>32</v>
      </c>
    </row>
    <row r="35" spans="2:6" x14ac:dyDescent="0.4">
      <c r="B35" s="2" t="s">
        <v>30</v>
      </c>
      <c r="C35" s="2">
        <v>1700</v>
      </c>
      <c r="D35" s="2" t="s">
        <v>35</v>
      </c>
    </row>
    <row r="36" spans="2:6" x14ac:dyDescent="0.4">
      <c r="B36" s="2" t="s">
        <v>31</v>
      </c>
      <c r="C36" s="2">
        <v>1000</v>
      </c>
      <c r="D36" s="2" t="s">
        <v>34</v>
      </c>
    </row>
    <row r="37" spans="2:6" x14ac:dyDescent="0.4">
      <c r="B37" s="2" t="s">
        <v>33</v>
      </c>
      <c r="C37" s="2">
        <v>700</v>
      </c>
      <c r="D37" s="18" t="s">
        <v>36</v>
      </c>
      <c r="E37" s="18"/>
      <c r="F37" s="18"/>
    </row>
    <row r="39" spans="2:6" ht="21" x14ac:dyDescent="0.7">
      <c r="B39" s="89" t="s">
        <v>1</v>
      </c>
      <c r="C39" s="89"/>
      <c r="D39" s="6"/>
    </row>
    <row r="40" spans="2:6" x14ac:dyDescent="0.4">
      <c r="B40" s="107" t="s">
        <v>38</v>
      </c>
      <c r="C40" s="107"/>
    </row>
    <row r="41" spans="2:6" x14ac:dyDescent="0.4">
      <c r="B41" s="91" t="s">
        <v>39</v>
      </c>
      <c r="C41" s="91"/>
      <c r="D41" s="91"/>
    </row>
    <row r="42" spans="2:6" x14ac:dyDescent="0.4">
      <c r="B42" s="107"/>
      <c r="C42" s="107"/>
    </row>
    <row r="43" spans="2:6" x14ac:dyDescent="0.4">
      <c r="B43" s="50" t="s">
        <v>40</v>
      </c>
    </row>
    <row r="44" spans="2:6" ht="18.5" thickBot="1" x14ac:dyDescent="0.45"/>
    <row r="45" spans="2:6" x14ac:dyDescent="0.4">
      <c r="C45" s="20" t="s">
        <v>30</v>
      </c>
      <c r="D45" s="21">
        <v>1700</v>
      </c>
      <c r="E45" s="21" t="s">
        <v>42</v>
      </c>
      <c r="F45" s="22">
        <v>200</v>
      </c>
    </row>
    <row r="46" spans="2:6" x14ac:dyDescent="0.4">
      <c r="B46" s="2" t="s">
        <v>44</v>
      </c>
      <c r="C46" s="23" t="s">
        <v>31</v>
      </c>
      <c r="D46" s="2">
        <v>1000</v>
      </c>
      <c r="E46" s="2" t="s">
        <v>41</v>
      </c>
      <c r="F46" s="24">
        <v>200</v>
      </c>
    </row>
    <row r="47" spans="2:6" ht="18.5" thickBot="1" x14ac:dyDescent="0.45">
      <c r="C47" s="25" t="s">
        <v>33</v>
      </c>
      <c r="D47" s="26">
        <v>700</v>
      </c>
      <c r="E47" s="26"/>
      <c r="F47" s="27"/>
    </row>
    <row r="48" spans="2:6" ht="18.5" thickBot="1" x14ac:dyDescent="0.45"/>
    <row r="49" spans="2:8" x14ac:dyDescent="0.4">
      <c r="C49" s="20" t="s">
        <v>30</v>
      </c>
      <c r="D49" s="22">
        <v>1500</v>
      </c>
    </row>
    <row r="50" spans="2:8" x14ac:dyDescent="0.4">
      <c r="B50" s="2" t="s">
        <v>43</v>
      </c>
      <c r="C50" s="23" t="s">
        <v>31</v>
      </c>
      <c r="D50" s="24">
        <v>1000</v>
      </c>
    </row>
    <row r="51" spans="2:8" ht="18.5" thickBot="1" x14ac:dyDescent="0.45">
      <c r="C51" s="25" t="s">
        <v>33</v>
      </c>
      <c r="D51" s="27">
        <v>500</v>
      </c>
    </row>
    <row r="53" spans="2:8" ht="21" x14ac:dyDescent="0.7">
      <c r="B53" s="89" t="s">
        <v>2</v>
      </c>
      <c r="C53" s="89"/>
      <c r="D53" s="6"/>
      <c r="E53" s="6"/>
    </row>
    <row r="54" spans="2:8" x14ac:dyDescent="0.4">
      <c r="B54" s="91" t="s">
        <v>45</v>
      </c>
      <c r="C54" s="91"/>
      <c r="D54" s="91"/>
    </row>
    <row r="56" spans="2:8" ht="21" x14ac:dyDescent="0.7">
      <c r="B56" s="90" t="s">
        <v>46</v>
      </c>
      <c r="C56" s="90"/>
      <c r="E56" s="90"/>
      <c r="F56" s="90"/>
    </row>
    <row r="58" spans="2:8" ht="21" x14ac:dyDescent="0.7">
      <c r="C58" s="5" t="s">
        <v>47</v>
      </c>
      <c r="E58" s="5" t="s">
        <v>48</v>
      </c>
    </row>
    <row r="59" spans="2:8" ht="21" x14ac:dyDescent="0.7">
      <c r="G59" s="90" t="s">
        <v>56</v>
      </c>
      <c r="H59" s="90"/>
    </row>
    <row r="60" spans="2:8" x14ac:dyDescent="0.4">
      <c r="C60" s="2" t="s">
        <v>49</v>
      </c>
      <c r="E60" s="2" t="s">
        <v>49</v>
      </c>
      <c r="G60" s="2" t="s">
        <v>55</v>
      </c>
    </row>
    <row r="61" spans="2:8" x14ac:dyDescent="0.4">
      <c r="C61" s="2" t="s">
        <v>41</v>
      </c>
      <c r="E61" s="2" t="s">
        <v>51</v>
      </c>
      <c r="G61" s="2" t="s">
        <v>41</v>
      </c>
    </row>
    <row r="64" spans="2:8" ht="21" x14ac:dyDescent="0.7">
      <c r="B64" s="89" t="s">
        <v>3</v>
      </c>
      <c r="C64" s="89"/>
    </row>
    <row r="66" spans="2:11" ht="21" customHeight="1" x14ac:dyDescent="0.4">
      <c r="B66" s="91" t="s">
        <v>57</v>
      </c>
      <c r="C66" s="91"/>
      <c r="D66" s="91"/>
      <c r="E66" s="91"/>
    </row>
    <row r="67" spans="2:11" ht="21" customHeight="1" x14ac:dyDescent="0.4">
      <c r="B67" s="19" t="s">
        <v>184</v>
      </c>
      <c r="C67" s="19"/>
      <c r="D67" s="19"/>
      <c r="E67" s="19"/>
    </row>
    <row r="68" spans="2:11" ht="21" customHeight="1" x14ac:dyDescent="0.4">
      <c r="B68" s="19"/>
      <c r="C68" s="19"/>
      <c r="D68" s="19"/>
      <c r="E68" s="19"/>
    </row>
    <row r="69" spans="2:11" ht="21" x14ac:dyDescent="0.7">
      <c r="C69" s="5" t="s">
        <v>59</v>
      </c>
      <c r="D69" s="5" t="s">
        <v>60</v>
      </c>
      <c r="E69" s="5" t="s">
        <v>61</v>
      </c>
    </row>
    <row r="70" spans="2:11" x14ac:dyDescent="0.4">
      <c r="B70" s="2" t="s">
        <v>58</v>
      </c>
      <c r="C70" s="2">
        <v>10000</v>
      </c>
      <c r="D70" s="2">
        <v>20</v>
      </c>
      <c r="E70" s="2">
        <v>200000</v>
      </c>
    </row>
    <row r="71" spans="2:11" ht="21" x14ac:dyDescent="0.7">
      <c r="B71" s="2" t="s">
        <v>62</v>
      </c>
      <c r="C71" s="5">
        <v>10000</v>
      </c>
    </row>
    <row r="72" spans="2:11" x14ac:dyDescent="0.4">
      <c r="B72" s="2" t="s">
        <v>63</v>
      </c>
      <c r="C72" s="2">
        <f>SUM(C70:C71)</f>
        <v>20000</v>
      </c>
      <c r="D72" s="28">
        <v>10</v>
      </c>
      <c r="E72" s="2">
        <v>200000</v>
      </c>
    </row>
    <row r="74" spans="2:11" ht="21" x14ac:dyDescent="0.7">
      <c r="B74" s="5" t="s">
        <v>4</v>
      </c>
      <c r="G74" s="10"/>
      <c r="H74" s="10"/>
      <c r="I74" s="10"/>
      <c r="J74" s="10"/>
      <c r="K74" s="9"/>
    </row>
    <row r="75" spans="2:11" x14ac:dyDescent="0.4">
      <c r="B75" s="18" t="s">
        <v>95</v>
      </c>
      <c r="C75" s="51" t="s">
        <v>97</v>
      </c>
      <c r="D75" s="18"/>
      <c r="G75" s="10"/>
      <c r="H75" s="10"/>
      <c r="I75" s="10"/>
      <c r="J75" s="10"/>
      <c r="K75" s="9"/>
    </row>
    <row r="76" spans="2:11" x14ac:dyDescent="0.4">
      <c r="B76" s="51" t="s">
        <v>96</v>
      </c>
      <c r="C76" s="2">
        <v>30000</v>
      </c>
      <c r="G76" s="10"/>
      <c r="H76" s="10"/>
      <c r="I76" s="10"/>
      <c r="J76" s="10"/>
      <c r="K76" s="9"/>
    </row>
    <row r="77" spans="2:11" ht="21" x14ac:dyDescent="0.7">
      <c r="C77" s="5"/>
      <c r="D77" s="5"/>
    </row>
    <row r="78" spans="2:11" x14ac:dyDescent="0.4">
      <c r="B78" s="2" t="s">
        <v>98</v>
      </c>
    </row>
    <row r="79" spans="2:11" ht="21" x14ac:dyDescent="0.7">
      <c r="C79" s="5"/>
      <c r="D79" s="5"/>
    </row>
    <row r="80" spans="2:11" x14ac:dyDescent="0.4">
      <c r="B80" s="2" t="s">
        <v>42</v>
      </c>
      <c r="C80" s="2">
        <v>20000</v>
      </c>
    </row>
    <row r="81" spans="2:7" x14ac:dyDescent="0.4">
      <c r="B81" s="2" t="s">
        <v>31</v>
      </c>
      <c r="C81" s="2">
        <v>20000</v>
      </c>
      <c r="D81" s="2" t="s">
        <v>99</v>
      </c>
    </row>
    <row r="83" spans="2:7" ht="18.5" thickBot="1" x14ac:dyDescent="0.45"/>
    <row r="84" spans="2:7" ht="18.5" thickBot="1" x14ac:dyDescent="0.45">
      <c r="B84" s="103" t="s">
        <v>100</v>
      </c>
      <c r="C84" s="104"/>
      <c r="D84" s="105"/>
    </row>
    <row r="87" spans="2:7" ht="21" x14ac:dyDescent="0.7">
      <c r="B87" s="89" t="s">
        <v>7</v>
      </c>
      <c r="C87" s="89"/>
    </row>
    <row r="89" spans="2:7" x14ac:dyDescent="0.4">
      <c r="B89" s="2" t="s">
        <v>101</v>
      </c>
    </row>
    <row r="91" spans="2:7" x14ac:dyDescent="0.4">
      <c r="B91" s="2" t="s">
        <v>49</v>
      </c>
    </row>
    <row r="92" spans="2:7" x14ac:dyDescent="0.4">
      <c r="B92" s="2" t="s">
        <v>74</v>
      </c>
    </row>
    <row r="95" spans="2:7" ht="21" x14ac:dyDescent="0.7">
      <c r="B95" s="85" t="s">
        <v>21</v>
      </c>
      <c r="C95" s="85"/>
      <c r="D95" s="85"/>
      <c r="E95" s="1"/>
      <c r="F95" s="1"/>
      <c r="G95" s="1"/>
    </row>
    <row r="96" spans="2:7" x14ac:dyDescent="0.4">
      <c r="B96" s="1"/>
      <c r="C96" s="1"/>
      <c r="D96" s="1"/>
      <c r="E96" s="1"/>
      <c r="F96" s="1"/>
      <c r="G96" s="1"/>
    </row>
    <row r="97" spans="2:7" ht="21" x14ac:dyDescent="0.7">
      <c r="B97" s="1"/>
      <c r="C97" s="3" t="s">
        <v>103</v>
      </c>
      <c r="D97" s="1"/>
      <c r="E97" s="1"/>
      <c r="F97" s="1"/>
      <c r="G97" s="1"/>
    </row>
    <row r="98" spans="2:7" x14ac:dyDescent="0.4">
      <c r="B98" s="1">
        <v>1</v>
      </c>
      <c r="C98" s="1" t="s">
        <v>104</v>
      </c>
      <c r="D98" s="1">
        <v>5</v>
      </c>
      <c r="E98" s="1"/>
      <c r="F98" s="1"/>
      <c r="G98" s="1"/>
    </row>
    <row r="99" spans="2:7" x14ac:dyDescent="0.4">
      <c r="B99" s="1">
        <v>2</v>
      </c>
      <c r="C99" s="1" t="s">
        <v>105</v>
      </c>
      <c r="D99" s="1">
        <v>3</v>
      </c>
      <c r="E99" s="1"/>
      <c r="F99" s="1"/>
      <c r="G99" s="1"/>
    </row>
    <row r="100" spans="2:7" x14ac:dyDescent="0.4">
      <c r="B100" s="1">
        <v>3</v>
      </c>
      <c r="C100" s="1" t="s">
        <v>126</v>
      </c>
      <c r="D100" s="54" t="s">
        <v>127</v>
      </c>
      <c r="E100" s="1"/>
      <c r="F100" s="1"/>
      <c r="G100" s="1"/>
    </row>
    <row r="101" spans="2:7" x14ac:dyDescent="0.4">
      <c r="B101" s="1">
        <v>4</v>
      </c>
      <c r="C101" s="1" t="s">
        <v>128</v>
      </c>
      <c r="D101" s="1" t="s">
        <v>106</v>
      </c>
      <c r="E101" s="1"/>
      <c r="F101" s="1"/>
      <c r="G101" s="1"/>
    </row>
    <row r="102" spans="2:7" x14ac:dyDescent="0.4">
      <c r="B102" s="1"/>
      <c r="C102" s="1"/>
      <c r="D102" s="1"/>
      <c r="E102" s="1"/>
      <c r="F102" s="1"/>
      <c r="G102" s="1"/>
    </row>
    <row r="103" spans="2:7" ht="21.5" thickBot="1" x14ac:dyDescent="0.75">
      <c r="B103" s="1"/>
      <c r="C103" s="3" t="s">
        <v>107</v>
      </c>
      <c r="D103" s="1"/>
      <c r="E103" s="1"/>
      <c r="F103" s="1"/>
      <c r="G103" s="1"/>
    </row>
    <row r="104" spans="2:7" ht="21" customHeight="1" x14ac:dyDescent="0.4">
      <c r="B104" s="98" t="s">
        <v>133</v>
      </c>
      <c r="C104" s="99"/>
      <c r="D104" s="100"/>
      <c r="E104" s="1"/>
      <c r="F104" s="1"/>
      <c r="G104" s="1"/>
    </row>
    <row r="105" spans="2:7" ht="21" customHeight="1" x14ac:dyDescent="0.4">
      <c r="B105" s="92" t="s">
        <v>129</v>
      </c>
      <c r="C105" s="93"/>
      <c r="D105" s="94"/>
      <c r="E105" s="1"/>
      <c r="F105" s="1"/>
      <c r="G105" s="1"/>
    </row>
    <row r="106" spans="2:7" x14ac:dyDescent="0.4">
      <c r="B106" s="95" t="s">
        <v>130</v>
      </c>
      <c r="C106" s="96"/>
      <c r="D106" s="97"/>
      <c r="E106" s="1"/>
      <c r="F106" s="1"/>
      <c r="G106" s="1"/>
    </row>
    <row r="107" spans="2:7" x14ac:dyDescent="0.4">
      <c r="B107" s="64" t="s">
        <v>131</v>
      </c>
      <c r="D107" s="65"/>
      <c r="E107" s="1"/>
      <c r="F107" s="1"/>
      <c r="G107" s="1"/>
    </row>
    <row r="108" spans="2:7" ht="18.5" thickBot="1" x14ac:dyDescent="0.45">
      <c r="B108" s="66" t="s">
        <v>132</v>
      </c>
      <c r="C108" s="26"/>
      <c r="D108" s="67"/>
      <c r="E108" s="1"/>
      <c r="F108" s="1"/>
      <c r="G108" s="1"/>
    </row>
    <row r="109" spans="2:7" x14ac:dyDescent="0.4">
      <c r="B109" s="1"/>
      <c r="C109" s="1"/>
      <c r="D109" s="1"/>
      <c r="E109" s="1"/>
      <c r="F109" s="1"/>
      <c r="G109" s="1"/>
    </row>
    <row r="110" spans="2:7" ht="21" x14ac:dyDescent="0.7">
      <c r="B110" s="1" t="s">
        <v>120</v>
      </c>
      <c r="C110" s="55" t="s">
        <v>108</v>
      </c>
      <c r="D110" s="1"/>
      <c r="E110" s="1"/>
      <c r="F110" s="1"/>
      <c r="G110" s="1"/>
    </row>
    <row r="111" spans="2:7" x14ac:dyDescent="0.4">
      <c r="B111" s="1"/>
      <c r="C111" s="1" t="s">
        <v>30</v>
      </c>
      <c r="D111" s="1">
        <v>60000</v>
      </c>
      <c r="E111" s="1" t="s">
        <v>109</v>
      </c>
      <c r="F111" s="1"/>
      <c r="G111" s="1"/>
    </row>
    <row r="112" spans="2:7" x14ac:dyDescent="0.4">
      <c r="B112" s="1"/>
      <c r="C112" s="1" t="s">
        <v>110</v>
      </c>
      <c r="D112" s="1">
        <v>60000</v>
      </c>
      <c r="E112" s="1"/>
      <c r="F112" s="1"/>
      <c r="G112" s="1"/>
    </row>
    <row r="113" spans="2:7" x14ac:dyDescent="0.4">
      <c r="B113" s="1"/>
      <c r="C113" s="1"/>
      <c r="D113" s="1"/>
      <c r="E113" s="1"/>
      <c r="F113" s="1"/>
      <c r="G113" s="1"/>
    </row>
    <row r="114" spans="2:7" ht="21.5" thickBot="1" x14ac:dyDescent="0.75">
      <c r="B114" s="1" t="s">
        <v>79</v>
      </c>
      <c r="C114" s="55" t="s">
        <v>111</v>
      </c>
      <c r="D114" s="1"/>
      <c r="E114" s="1"/>
      <c r="F114" s="1"/>
      <c r="G114" s="1"/>
    </row>
    <row r="115" spans="2:7" ht="18.5" thickBot="1" x14ac:dyDescent="0.45">
      <c r="B115" s="1"/>
      <c r="C115" s="57" t="s">
        <v>112</v>
      </c>
      <c r="D115" s="62">
        <v>1000</v>
      </c>
      <c r="E115" s="58" t="s">
        <v>113</v>
      </c>
      <c r="F115" s="1"/>
      <c r="G115" s="1"/>
    </row>
    <row r="116" spans="2:7" x14ac:dyDescent="0.4">
      <c r="B116" s="1"/>
      <c r="C116" s="1"/>
      <c r="D116" s="1"/>
      <c r="E116" s="1"/>
      <c r="F116" s="1"/>
      <c r="G116" s="1"/>
    </row>
    <row r="117" spans="2:7" x14ac:dyDescent="0.4">
      <c r="B117" s="1" t="s">
        <v>105</v>
      </c>
      <c r="C117" s="58" t="s">
        <v>30</v>
      </c>
      <c r="D117" s="58">
        <v>5000</v>
      </c>
      <c r="E117" s="58" t="s">
        <v>114</v>
      </c>
      <c r="F117" s="1"/>
      <c r="G117" s="1"/>
    </row>
    <row r="118" spans="2:7" x14ac:dyDescent="0.4">
      <c r="B118" s="1" t="s">
        <v>104</v>
      </c>
      <c r="C118" s="58" t="s">
        <v>115</v>
      </c>
      <c r="D118" s="58">
        <v>12000</v>
      </c>
      <c r="E118" s="58" t="s">
        <v>116</v>
      </c>
      <c r="F118" s="1"/>
      <c r="G118" s="1"/>
    </row>
    <row r="119" spans="2:7" x14ac:dyDescent="0.4">
      <c r="B119" s="1" t="s">
        <v>117</v>
      </c>
      <c r="C119" s="58" t="s">
        <v>31</v>
      </c>
      <c r="D119" s="58">
        <v>1000</v>
      </c>
      <c r="E119" s="58" t="s">
        <v>118</v>
      </c>
      <c r="F119" s="1"/>
      <c r="G119" s="1"/>
    </row>
    <row r="120" spans="2:7" x14ac:dyDescent="0.4">
      <c r="B120" s="63" t="s">
        <v>135</v>
      </c>
      <c r="C120" s="58" t="s">
        <v>134</v>
      </c>
      <c r="D120" s="58">
        <v>16000</v>
      </c>
      <c r="E120" s="58" t="s">
        <v>136</v>
      </c>
      <c r="F120" s="1"/>
      <c r="G120" s="1"/>
    </row>
    <row r="121" spans="2:7" x14ac:dyDescent="0.4">
      <c r="B121" s="1"/>
      <c r="C121" s="1"/>
      <c r="D121" s="1"/>
      <c r="E121" s="1"/>
      <c r="F121" s="1"/>
      <c r="G121" s="1"/>
    </row>
    <row r="122" spans="2:7" ht="21" x14ac:dyDescent="0.7">
      <c r="B122" s="1" t="s">
        <v>76</v>
      </c>
      <c r="C122" s="55" t="s">
        <v>119</v>
      </c>
      <c r="D122" s="1"/>
      <c r="E122" s="1"/>
      <c r="F122" s="1"/>
      <c r="G122" s="1"/>
    </row>
    <row r="123" spans="2:7" x14ac:dyDescent="0.4">
      <c r="B123" s="1"/>
      <c r="C123" s="1" t="s">
        <v>137</v>
      </c>
      <c r="D123" s="1">
        <v>48000</v>
      </c>
      <c r="E123" s="1" t="s">
        <v>138</v>
      </c>
      <c r="F123" s="1"/>
      <c r="G123" s="1"/>
    </row>
    <row r="124" spans="2:7" x14ac:dyDescent="0.4">
      <c r="B124" s="1"/>
      <c r="C124" s="1" t="s">
        <v>33</v>
      </c>
      <c r="D124" s="1">
        <v>48000</v>
      </c>
      <c r="E124" s="1"/>
      <c r="F124" s="1"/>
      <c r="G124" s="1"/>
    </row>
    <row r="125" spans="2:7" x14ac:dyDescent="0.4">
      <c r="B125" s="1"/>
      <c r="C125" s="1"/>
      <c r="D125" s="1"/>
      <c r="E125" s="1"/>
      <c r="F125" s="1"/>
      <c r="G125" s="1"/>
    </row>
    <row r="126" spans="2:7" x14ac:dyDescent="0.4">
      <c r="B126" s="1"/>
      <c r="C126" s="1"/>
      <c r="D126" s="1"/>
      <c r="E126" s="1"/>
      <c r="F126" s="1"/>
      <c r="G126" s="1"/>
    </row>
    <row r="127" spans="2:7" ht="21" x14ac:dyDescent="0.7">
      <c r="B127" s="4"/>
      <c r="C127" s="56" t="s">
        <v>5</v>
      </c>
      <c r="D127" s="56" t="s">
        <v>6</v>
      </c>
      <c r="E127" s="56" t="s">
        <v>21</v>
      </c>
      <c r="F127" s="56" t="s">
        <v>8</v>
      </c>
      <c r="G127" s="1"/>
    </row>
    <row r="128" spans="2:7" x14ac:dyDescent="0.4">
      <c r="B128" s="4" t="s">
        <v>108</v>
      </c>
      <c r="C128" s="4"/>
      <c r="D128" s="4"/>
      <c r="E128" s="4">
        <v>60000</v>
      </c>
      <c r="F128" s="4">
        <f>SUM(C128:E128)</f>
        <v>60000</v>
      </c>
      <c r="G128" s="1"/>
    </row>
    <row r="129" spans="2:7" x14ac:dyDescent="0.4">
      <c r="B129" s="4" t="s">
        <v>111</v>
      </c>
      <c r="C129" s="4">
        <v>1000</v>
      </c>
      <c r="D129" s="4">
        <v>16000</v>
      </c>
      <c r="E129" s="4">
        <v>-12000</v>
      </c>
      <c r="F129" s="4">
        <f t="shared" ref="F129:F130" si="0">SUM(C129:E129)</f>
        <v>5000</v>
      </c>
      <c r="G129" s="1"/>
    </row>
    <row r="130" spans="2:7" x14ac:dyDescent="0.4">
      <c r="B130" s="4" t="s">
        <v>119</v>
      </c>
      <c r="C130" s="4"/>
      <c r="D130" s="4">
        <v>48000</v>
      </c>
      <c r="E130" s="4">
        <v>-48000</v>
      </c>
      <c r="F130" s="4">
        <f t="shared" si="0"/>
        <v>0</v>
      </c>
      <c r="G130" s="1"/>
    </row>
    <row r="131" spans="2:7" x14ac:dyDescent="0.4">
      <c r="B131" s="1"/>
      <c r="C131" s="1"/>
      <c r="D131" s="1"/>
      <c r="E131" s="1">
        <f>SUM(E128:E130)</f>
        <v>0</v>
      </c>
      <c r="F131" s="1"/>
      <c r="G131" s="1"/>
    </row>
    <row r="132" spans="2:7" x14ac:dyDescent="0.4">
      <c r="B132" s="1"/>
      <c r="C132" s="1"/>
      <c r="D132" s="1"/>
      <c r="E132" s="1"/>
      <c r="F132" s="1"/>
      <c r="G132" s="1"/>
    </row>
    <row r="133" spans="2:7" x14ac:dyDescent="0.4">
      <c r="B133" s="1"/>
      <c r="C133" s="1"/>
      <c r="D133" s="1"/>
      <c r="E133" s="1"/>
      <c r="F133" s="1"/>
      <c r="G133" s="1"/>
    </row>
    <row r="134" spans="2:7" x14ac:dyDescent="0.4">
      <c r="B134" s="1"/>
      <c r="C134" s="1"/>
      <c r="D134" s="1"/>
      <c r="E134" s="1"/>
      <c r="F134" s="1"/>
      <c r="G134" s="1"/>
    </row>
    <row r="135" spans="2:7" x14ac:dyDescent="0.4">
      <c r="B135" s="1"/>
      <c r="C135" s="1"/>
      <c r="D135" s="1"/>
      <c r="E135" s="1"/>
      <c r="F135" s="1"/>
      <c r="G135" s="1"/>
    </row>
    <row r="136" spans="2:7" x14ac:dyDescent="0.4">
      <c r="B136" s="1"/>
      <c r="C136" s="1"/>
      <c r="D136" s="1"/>
      <c r="E136" s="1"/>
      <c r="F136" s="1"/>
      <c r="G136" s="1"/>
    </row>
    <row r="137" spans="2:7" x14ac:dyDescent="0.4">
      <c r="B137" s="1"/>
      <c r="C137" s="1"/>
      <c r="D137" s="1"/>
      <c r="E137" s="1"/>
      <c r="F137" s="1"/>
      <c r="G137" s="1"/>
    </row>
    <row r="138" spans="2:7" x14ac:dyDescent="0.4">
      <c r="B138" s="1"/>
      <c r="C138" s="1"/>
      <c r="D138" s="1"/>
      <c r="E138" s="1"/>
      <c r="F138" s="1"/>
      <c r="G138" s="1"/>
    </row>
    <row r="139" spans="2:7" x14ac:dyDescent="0.4">
      <c r="B139" s="1"/>
      <c r="C139" s="1"/>
      <c r="D139" s="1"/>
      <c r="E139" s="1"/>
      <c r="F139" s="1"/>
      <c r="G139" s="1"/>
    </row>
    <row r="140" spans="2:7" x14ac:dyDescent="0.4">
      <c r="B140" s="1"/>
      <c r="C140" s="1"/>
      <c r="D140" s="1"/>
      <c r="E140" s="1"/>
      <c r="F140" s="1"/>
      <c r="G140" s="1"/>
    </row>
  </sheetData>
  <mergeCells count="23">
    <mergeCell ref="B95:D95"/>
    <mergeCell ref="B105:D105"/>
    <mergeCell ref="B106:D106"/>
    <mergeCell ref="B104:D104"/>
    <mergeCell ref="B2:E2"/>
    <mergeCell ref="B13:C13"/>
    <mergeCell ref="B19:D19"/>
    <mergeCell ref="B84:D84"/>
    <mergeCell ref="B87:C87"/>
    <mergeCell ref="B11:D11"/>
    <mergeCell ref="B26:C26"/>
    <mergeCell ref="B40:C40"/>
    <mergeCell ref="B42:C42"/>
    <mergeCell ref="B41:D41"/>
    <mergeCell ref="B54:D54"/>
    <mergeCell ref="B24:C24"/>
    <mergeCell ref="B39:C39"/>
    <mergeCell ref="B53:C53"/>
    <mergeCell ref="G59:H59"/>
    <mergeCell ref="B66:E66"/>
    <mergeCell ref="B56:C56"/>
    <mergeCell ref="E56:F56"/>
    <mergeCell ref="B64:C6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8BD0-C2FE-491F-8ECB-CA838AB15FF3}">
  <dimension ref="B2:G75"/>
  <sheetViews>
    <sheetView rightToLeft="1" topLeftCell="A30" zoomScaleNormal="100" workbookViewId="0">
      <selection activeCell="F35" sqref="F35"/>
    </sheetView>
  </sheetViews>
  <sheetFormatPr defaultRowHeight="18" x14ac:dyDescent="0.4"/>
  <cols>
    <col min="1" max="1" width="8.6640625" style="1"/>
    <col min="2" max="2" width="18.08203125" style="1" customWidth="1"/>
    <col min="3" max="3" width="27.9140625" style="1" customWidth="1"/>
    <col min="4" max="4" width="15.1640625" style="1" customWidth="1"/>
    <col min="5" max="5" width="15.5" style="1" customWidth="1"/>
    <col min="6" max="6" width="21.9140625" style="1" customWidth="1"/>
    <col min="7" max="7" width="13.25" style="1" customWidth="1"/>
    <col min="8" max="16384" width="8.6640625" style="1"/>
  </cols>
  <sheetData>
    <row r="2" spans="2:7" ht="21" x14ac:dyDescent="0.7">
      <c r="B2" s="85" t="s">
        <v>9</v>
      </c>
      <c r="C2" s="85"/>
      <c r="D2" s="85"/>
      <c r="E2" s="85"/>
      <c r="F2" s="85"/>
      <c r="G2" s="85"/>
    </row>
    <row r="3" spans="2:7" x14ac:dyDescent="0.4">
      <c r="C3" s="49" t="s">
        <v>77</v>
      </c>
      <c r="D3" s="47" t="s">
        <v>78</v>
      </c>
    </row>
    <row r="4" spans="2:7" ht="21" x14ac:dyDescent="0.7">
      <c r="B4" s="11" t="s">
        <v>10</v>
      </c>
      <c r="C4" s="11" t="s">
        <v>5</v>
      </c>
      <c r="D4" s="11" t="s">
        <v>11</v>
      </c>
      <c r="E4" s="11" t="s">
        <v>6</v>
      </c>
      <c r="F4" s="11" t="s">
        <v>12</v>
      </c>
      <c r="G4" s="11" t="s">
        <v>8</v>
      </c>
    </row>
    <row r="5" spans="2:7" x14ac:dyDescent="0.4">
      <c r="B5" s="12" t="s">
        <v>75</v>
      </c>
      <c r="C5" s="12">
        <v>50000</v>
      </c>
      <c r="D5" s="12">
        <v>20000</v>
      </c>
      <c r="E5" s="12">
        <v>50000</v>
      </c>
      <c r="F5" s="12">
        <v>150000</v>
      </c>
      <c r="G5" s="12">
        <f>SUM(C5:F5)</f>
        <v>270000</v>
      </c>
    </row>
    <row r="6" spans="2:7" x14ac:dyDescent="0.4">
      <c r="B6" s="13" t="s">
        <v>79</v>
      </c>
      <c r="C6" s="4">
        <v>10000</v>
      </c>
      <c r="D6" s="4"/>
      <c r="E6" s="4">
        <v>20000</v>
      </c>
      <c r="F6" s="4"/>
      <c r="G6" s="12">
        <f t="shared" ref="G6:G11" si="0">SUM(C6:F6)</f>
        <v>30000</v>
      </c>
    </row>
    <row r="7" spans="2:7" x14ac:dyDescent="0.4">
      <c r="B7" s="13" t="s">
        <v>81</v>
      </c>
      <c r="C7" s="4"/>
      <c r="D7" s="4">
        <v>10000</v>
      </c>
      <c r="E7" s="4">
        <v>15000</v>
      </c>
      <c r="F7" s="4"/>
      <c r="G7" s="12">
        <f t="shared" si="0"/>
        <v>25000</v>
      </c>
    </row>
    <row r="8" spans="2:7" x14ac:dyDescent="0.4">
      <c r="B8" s="13" t="s">
        <v>67</v>
      </c>
      <c r="C8" s="4"/>
      <c r="D8" s="4"/>
      <c r="E8" s="4">
        <v>-1000</v>
      </c>
      <c r="F8" s="4"/>
      <c r="G8" s="12">
        <f t="shared" si="0"/>
        <v>-1000</v>
      </c>
    </row>
    <row r="9" spans="2:7" x14ac:dyDescent="0.4">
      <c r="B9" s="13" t="s">
        <v>84</v>
      </c>
      <c r="C9" s="4">
        <v>12000</v>
      </c>
      <c r="D9" s="4"/>
      <c r="E9" s="4">
        <v>-12000</v>
      </c>
      <c r="F9" s="4"/>
      <c r="G9" s="12">
        <f t="shared" si="0"/>
        <v>0</v>
      </c>
    </row>
    <row r="10" spans="2:7" x14ac:dyDescent="0.4">
      <c r="B10" s="13" t="s">
        <v>87</v>
      </c>
      <c r="C10" s="4"/>
      <c r="D10" s="4"/>
      <c r="E10" s="4"/>
      <c r="F10" s="4">
        <v>150000</v>
      </c>
      <c r="G10" s="12">
        <f t="shared" si="0"/>
        <v>150000</v>
      </c>
    </row>
    <row r="11" spans="2:7" x14ac:dyDescent="0.4">
      <c r="B11" s="13" t="s">
        <v>88</v>
      </c>
      <c r="C11" s="4"/>
      <c r="D11" s="4"/>
      <c r="E11" s="4"/>
      <c r="F11" s="4">
        <v>-40000</v>
      </c>
      <c r="G11" s="12">
        <f t="shared" si="0"/>
        <v>-40000</v>
      </c>
    </row>
    <row r="12" spans="2:7" x14ac:dyDescent="0.4">
      <c r="B12" s="12" t="s">
        <v>76</v>
      </c>
      <c r="C12" s="14">
        <f>SUM(C5:C11)</f>
        <v>72000</v>
      </c>
      <c r="D12" s="14">
        <f t="shared" ref="D12:G12" si="1">SUM(D5:D11)</f>
        <v>30000</v>
      </c>
      <c r="E12" s="14">
        <f t="shared" si="1"/>
        <v>72000</v>
      </c>
      <c r="F12" s="14">
        <f t="shared" si="1"/>
        <v>260000</v>
      </c>
      <c r="G12" s="14">
        <f t="shared" si="1"/>
        <v>434000</v>
      </c>
    </row>
    <row r="14" spans="2:7" ht="21" x14ac:dyDescent="0.7">
      <c r="B14" s="3" t="s">
        <v>13</v>
      </c>
    </row>
    <row r="16" spans="2:7" x14ac:dyDescent="0.4">
      <c r="B16" s="1" t="s">
        <v>79</v>
      </c>
      <c r="C16" s="1" t="s">
        <v>30</v>
      </c>
      <c r="D16" s="1">
        <v>30000</v>
      </c>
    </row>
    <row r="17" spans="2:5" x14ac:dyDescent="0.4">
      <c r="C17" s="1" t="s">
        <v>69</v>
      </c>
      <c r="D17" s="1">
        <v>10000</v>
      </c>
      <c r="E17" s="1" t="s">
        <v>80</v>
      </c>
    </row>
    <row r="18" spans="2:5" x14ac:dyDescent="0.4">
      <c r="C18" s="1" t="s">
        <v>33</v>
      </c>
      <c r="D18" s="1">
        <v>20000</v>
      </c>
    </row>
    <row r="20" spans="2:5" x14ac:dyDescent="0.4">
      <c r="B20" s="1" t="s">
        <v>81</v>
      </c>
      <c r="C20" s="1" t="s">
        <v>30</v>
      </c>
      <c r="D20" s="1">
        <v>25000</v>
      </c>
    </row>
    <row r="21" spans="2:5" x14ac:dyDescent="0.4">
      <c r="C21" s="1" t="s">
        <v>70</v>
      </c>
      <c r="D21" s="1">
        <v>10000</v>
      </c>
      <c r="E21" s="1" t="s">
        <v>82</v>
      </c>
    </row>
    <row r="22" spans="2:5" x14ac:dyDescent="0.4">
      <c r="C22" s="1" t="s">
        <v>33</v>
      </c>
      <c r="D22" s="1">
        <v>15000</v>
      </c>
    </row>
    <row r="24" spans="2:5" x14ac:dyDescent="0.4">
      <c r="B24" s="1" t="s">
        <v>67</v>
      </c>
      <c r="C24" s="1" t="s">
        <v>85</v>
      </c>
      <c r="D24" s="1">
        <v>1000</v>
      </c>
    </row>
    <row r="25" spans="2:5" x14ac:dyDescent="0.4">
      <c r="C25" s="1" t="s">
        <v>83</v>
      </c>
      <c r="D25" s="1">
        <v>1000</v>
      </c>
    </row>
    <row r="27" spans="2:5" x14ac:dyDescent="0.4">
      <c r="B27" s="1" t="s">
        <v>84</v>
      </c>
      <c r="C27" s="1" t="s">
        <v>42</v>
      </c>
      <c r="D27" s="1">
        <v>12000</v>
      </c>
    </row>
    <row r="28" spans="2:5" x14ac:dyDescent="0.4">
      <c r="C28" s="1" t="s">
        <v>69</v>
      </c>
      <c r="D28" s="1">
        <v>12000</v>
      </c>
      <c r="E28" s="1" t="s">
        <v>86</v>
      </c>
    </row>
    <row r="30" spans="2:5" x14ac:dyDescent="0.4">
      <c r="B30" s="1" t="s">
        <v>88</v>
      </c>
      <c r="C30" s="1" t="s">
        <v>49</v>
      </c>
      <c r="D30" s="1">
        <v>40000</v>
      </c>
    </row>
    <row r="31" spans="2:5" x14ac:dyDescent="0.4">
      <c r="C31" s="1" t="s">
        <v>83</v>
      </c>
      <c r="D31" s="1">
        <v>40000</v>
      </c>
    </row>
    <row r="33" spans="2:7" ht="21" x14ac:dyDescent="0.7">
      <c r="B33" s="85" t="s">
        <v>121</v>
      </c>
      <c r="C33" s="85"/>
      <c r="D33" s="85"/>
      <c r="E33" s="85"/>
      <c r="F33" s="85"/>
      <c r="G33" s="85"/>
    </row>
    <row r="34" spans="2:7" x14ac:dyDescent="0.4">
      <c r="B34" s="53"/>
      <c r="C34" s="53"/>
      <c r="D34" s="53"/>
      <c r="E34" s="53"/>
      <c r="F34" s="53"/>
      <c r="G34" s="53"/>
    </row>
    <row r="35" spans="2:7" ht="21" x14ac:dyDescent="0.7">
      <c r="B35" s="11" t="s">
        <v>10</v>
      </c>
      <c r="C35" s="59" t="s">
        <v>139</v>
      </c>
      <c r="D35" s="11" t="s">
        <v>6</v>
      </c>
      <c r="E35" s="11" t="s">
        <v>12</v>
      </c>
      <c r="F35" s="11" t="s">
        <v>21</v>
      </c>
      <c r="G35" s="11" t="s">
        <v>8</v>
      </c>
    </row>
    <row r="36" spans="2:7" x14ac:dyDescent="0.4">
      <c r="B36" s="12" t="s">
        <v>75</v>
      </c>
      <c r="C36" s="14">
        <v>30000</v>
      </c>
      <c r="D36" s="14">
        <v>60000</v>
      </c>
      <c r="E36" s="14">
        <v>200000</v>
      </c>
      <c r="F36" s="14"/>
      <c r="G36" s="14">
        <f>SUM(C36:F36)</f>
        <v>290000</v>
      </c>
    </row>
    <row r="37" spans="2:7" x14ac:dyDescent="0.4">
      <c r="B37" s="13" t="s">
        <v>81</v>
      </c>
      <c r="C37" s="4">
        <v>6000</v>
      </c>
      <c r="D37" s="4">
        <v>-6000</v>
      </c>
      <c r="E37" s="4"/>
      <c r="F37" s="4"/>
      <c r="G37" s="14">
        <f t="shared" ref="G37:G41" si="2">SUM(C37:F37)</f>
        <v>0</v>
      </c>
    </row>
    <row r="38" spans="2:7" x14ac:dyDescent="0.4">
      <c r="B38" s="13" t="s">
        <v>87</v>
      </c>
      <c r="C38" s="4"/>
      <c r="D38" s="4"/>
      <c r="E38" s="4">
        <v>80000</v>
      </c>
      <c r="F38" s="4"/>
      <c r="G38" s="14">
        <f t="shared" si="2"/>
        <v>80000</v>
      </c>
    </row>
    <row r="39" spans="2:7" x14ac:dyDescent="0.4">
      <c r="B39" s="13" t="s">
        <v>88</v>
      </c>
      <c r="C39" s="4"/>
      <c r="D39" s="4"/>
      <c r="E39" s="4">
        <v>-9000</v>
      </c>
      <c r="F39" s="4"/>
      <c r="G39" s="14">
        <f t="shared" si="2"/>
        <v>-9000</v>
      </c>
    </row>
    <row r="40" spans="2:7" x14ac:dyDescent="0.4">
      <c r="B40" s="12" t="s">
        <v>140</v>
      </c>
      <c r="C40" s="14">
        <f>SUM(C36:C39)</f>
        <v>36000</v>
      </c>
      <c r="D40" s="14">
        <f t="shared" ref="D40:G40" si="3">SUM(D36:D39)</f>
        <v>54000</v>
      </c>
      <c r="E40" s="14">
        <f t="shared" si="3"/>
        <v>271000</v>
      </c>
      <c r="F40" s="14">
        <f t="shared" si="3"/>
        <v>0</v>
      </c>
      <c r="G40" s="14">
        <f t="shared" si="3"/>
        <v>361000</v>
      </c>
    </row>
    <row r="41" spans="2:7" x14ac:dyDescent="0.4">
      <c r="B41" s="13" t="s">
        <v>141</v>
      </c>
      <c r="C41" s="4"/>
      <c r="D41" s="4"/>
      <c r="E41" s="4"/>
      <c r="F41" s="4">
        <v>60000</v>
      </c>
      <c r="G41" s="14">
        <f t="shared" si="2"/>
        <v>60000</v>
      </c>
    </row>
    <row r="42" spans="2:7" x14ac:dyDescent="0.4">
      <c r="B42" s="13" t="s">
        <v>143</v>
      </c>
      <c r="C42" s="4">
        <v>15000</v>
      </c>
      <c r="D42" s="4">
        <v>105000</v>
      </c>
      <c r="E42" s="4"/>
      <c r="F42" s="4">
        <v>-30000</v>
      </c>
      <c r="G42" s="14">
        <f t="shared" ref="G42:G45" si="4">SUM(C42:F42)</f>
        <v>90000</v>
      </c>
    </row>
    <row r="43" spans="2:7" x14ac:dyDescent="0.4">
      <c r="B43" s="13" t="s">
        <v>151</v>
      </c>
      <c r="C43" s="4">
        <v>5000</v>
      </c>
      <c r="D43" s="4">
        <v>15000</v>
      </c>
      <c r="E43" s="4"/>
      <c r="F43" s="4"/>
      <c r="G43" s="14">
        <f t="shared" si="4"/>
        <v>20000</v>
      </c>
    </row>
    <row r="44" spans="2:7" x14ac:dyDescent="0.4">
      <c r="B44" s="13" t="s">
        <v>152</v>
      </c>
      <c r="C44" s="4"/>
      <c r="D44" s="4"/>
      <c r="E44" s="4">
        <v>200000</v>
      </c>
      <c r="F44" s="4"/>
      <c r="G44" s="14">
        <f t="shared" si="4"/>
        <v>200000</v>
      </c>
    </row>
    <row r="45" spans="2:7" x14ac:dyDescent="0.4">
      <c r="B45" s="13" t="s">
        <v>153</v>
      </c>
      <c r="C45" s="4"/>
      <c r="D45" s="4"/>
      <c r="E45" s="4">
        <v>-16800</v>
      </c>
      <c r="F45" s="4"/>
      <c r="G45" s="14">
        <f t="shared" si="4"/>
        <v>-16800</v>
      </c>
    </row>
    <row r="46" spans="2:7" x14ac:dyDescent="0.4">
      <c r="B46" s="12" t="s">
        <v>154</v>
      </c>
      <c r="C46" s="14">
        <f>SUM(C36:C45)</f>
        <v>92000</v>
      </c>
      <c r="D46" s="14">
        <f t="shared" ref="D46:F46" si="5">SUM(D36:D45)</f>
        <v>228000</v>
      </c>
      <c r="E46" s="14">
        <f t="shared" si="5"/>
        <v>725200</v>
      </c>
      <c r="F46" s="14">
        <f t="shared" si="5"/>
        <v>30000</v>
      </c>
      <c r="G46" s="14">
        <f>SUM(G40:G45)</f>
        <v>714200</v>
      </c>
    </row>
    <row r="47" spans="2:7" x14ac:dyDescent="0.4">
      <c r="B47" s="60"/>
      <c r="C47" s="60"/>
      <c r="D47" s="60"/>
      <c r="E47" s="60"/>
      <c r="F47" s="60"/>
      <c r="G47" s="60"/>
    </row>
    <row r="48" spans="2:7" ht="21" x14ac:dyDescent="0.7">
      <c r="B48" s="3" t="s">
        <v>13</v>
      </c>
    </row>
    <row r="50" spans="2:5" x14ac:dyDescent="0.4">
      <c r="B50" s="1" t="s">
        <v>81</v>
      </c>
      <c r="C50" s="1" t="s">
        <v>85</v>
      </c>
      <c r="D50" s="1">
        <v>6000</v>
      </c>
      <c r="E50" s="1" t="s">
        <v>122</v>
      </c>
    </row>
    <row r="51" spans="2:5" x14ac:dyDescent="0.4">
      <c r="C51" s="1" t="s">
        <v>31</v>
      </c>
      <c r="D51" s="1">
        <v>6000</v>
      </c>
    </row>
    <row r="53" spans="2:5" x14ac:dyDescent="0.4">
      <c r="B53" s="1" t="s">
        <v>76</v>
      </c>
      <c r="C53" s="1" t="s">
        <v>49</v>
      </c>
      <c r="D53" s="1">
        <v>9000</v>
      </c>
      <c r="E53" s="1" t="s">
        <v>123</v>
      </c>
    </row>
    <row r="54" spans="2:5" x14ac:dyDescent="0.4">
      <c r="C54" s="1" t="s">
        <v>41</v>
      </c>
      <c r="D54" s="1">
        <v>9000</v>
      </c>
    </row>
    <row r="57" spans="2:5" x14ac:dyDescent="0.4">
      <c r="B57" s="1" t="s">
        <v>141</v>
      </c>
      <c r="C57" s="54" t="s">
        <v>142</v>
      </c>
    </row>
    <row r="59" spans="2:5" x14ac:dyDescent="0.4">
      <c r="C59" s="1" t="s">
        <v>30</v>
      </c>
      <c r="D59" s="1">
        <v>60000</v>
      </c>
      <c r="E59" s="1" t="s">
        <v>124</v>
      </c>
    </row>
    <row r="60" spans="2:5" x14ac:dyDescent="0.4">
      <c r="C60" s="1" t="s">
        <v>110</v>
      </c>
      <c r="D60" s="1">
        <v>60000</v>
      </c>
    </row>
    <row r="62" spans="2:5" ht="18.5" thickBot="1" x14ac:dyDescent="0.45">
      <c r="B62" s="1" t="s">
        <v>143</v>
      </c>
      <c r="C62" s="1" t="s">
        <v>144</v>
      </c>
    </row>
    <row r="63" spans="2:5" ht="18.5" thickBot="1" x14ac:dyDescent="0.45">
      <c r="C63" s="54" t="s">
        <v>112</v>
      </c>
      <c r="D63" s="68">
        <v>15000</v>
      </c>
      <c r="E63" s="1" t="s">
        <v>125</v>
      </c>
    </row>
    <row r="65" spans="2:5" x14ac:dyDescent="0.4">
      <c r="C65" s="1" t="s">
        <v>30</v>
      </c>
      <c r="D65" s="1">
        <v>90000</v>
      </c>
      <c r="E65" s="1" t="s">
        <v>145</v>
      </c>
    </row>
    <row r="66" spans="2:5" x14ac:dyDescent="0.4">
      <c r="C66" s="1" t="s">
        <v>115</v>
      </c>
      <c r="D66" s="1">
        <v>30000</v>
      </c>
      <c r="E66" s="1" t="s">
        <v>146</v>
      </c>
    </row>
    <row r="67" spans="2:5" x14ac:dyDescent="0.4">
      <c r="C67" s="1" t="s">
        <v>31</v>
      </c>
      <c r="D67" s="1">
        <v>15000</v>
      </c>
      <c r="E67" s="1" t="s">
        <v>147</v>
      </c>
    </row>
    <row r="68" spans="2:5" x14ac:dyDescent="0.4">
      <c r="C68" s="1" t="s">
        <v>33</v>
      </c>
      <c r="D68" s="1">
        <v>105000</v>
      </c>
    </row>
    <row r="70" spans="2:5" x14ac:dyDescent="0.4">
      <c r="B70" s="1" t="s">
        <v>148</v>
      </c>
      <c r="C70" s="1" t="s">
        <v>30</v>
      </c>
      <c r="D70" s="1">
        <v>20000</v>
      </c>
    </row>
    <row r="71" spans="2:5" x14ac:dyDescent="0.4">
      <c r="C71" s="1" t="s">
        <v>31</v>
      </c>
      <c r="D71" s="1">
        <v>5000</v>
      </c>
    </row>
    <row r="72" spans="2:5" x14ac:dyDescent="0.4">
      <c r="C72" s="1" t="s">
        <v>33</v>
      </c>
      <c r="D72" s="1">
        <v>15000</v>
      </c>
    </row>
    <row r="74" spans="2:5" x14ac:dyDescent="0.4">
      <c r="B74" s="1" t="s">
        <v>149</v>
      </c>
      <c r="C74" s="1" t="s">
        <v>49</v>
      </c>
      <c r="D74" s="1">
        <f>30%*56000</f>
        <v>16800</v>
      </c>
      <c r="E74" s="1" t="s">
        <v>150</v>
      </c>
    </row>
    <row r="75" spans="2:5" x14ac:dyDescent="0.4">
      <c r="C75" s="1" t="s">
        <v>41</v>
      </c>
      <c r="D75" s="1">
        <f>30%*56000</f>
        <v>16800</v>
      </c>
    </row>
  </sheetData>
  <mergeCells count="2">
    <mergeCell ref="B2:G2"/>
    <mergeCell ref="B33:G3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B0C3-6BB9-4FB9-B138-6A5280BC7AB9}">
  <dimension ref="B1:H92"/>
  <sheetViews>
    <sheetView rightToLeft="1" topLeftCell="A33" zoomScaleNormal="100" workbookViewId="0">
      <selection activeCell="C3" sqref="C3"/>
    </sheetView>
  </sheetViews>
  <sheetFormatPr defaultRowHeight="18" x14ac:dyDescent="0.4"/>
  <cols>
    <col min="1" max="1" width="8.6640625" style="1"/>
    <col min="2" max="2" width="16.6640625" style="1" customWidth="1"/>
    <col min="3" max="3" width="19.83203125" style="1" customWidth="1"/>
    <col min="4" max="4" width="16.75" style="1" customWidth="1"/>
    <col min="5" max="5" width="15.58203125" style="1" customWidth="1"/>
    <col min="6" max="6" width="16.4140625" style="1" customWidth="1"/>
    <col min="7" max="7" width="12.75" style="1" customWidth="1"/>
    <col min="8" max="8" width="14" style="1" customWidth="1"/>
    <col min="9" max="16384" width="8.6640625" style="1"/>
  </cols>
  <sheetData>
    <row r="1" spans="2:8" ht="21" x14ac:dyDescent="0.7">
      <c r="B1" s="85" t="s">
        <v>64</v>
      </c>
      <c r="C1" s="85"/>
      <c r="D1" s="85"/>
    </row>
    <row r="3" spans="2:8" ht="21" x14ac:dyDescent="0.7">
      <c r="B3" s="11" t="s">
        <v>10</v>
      </c>
      <c r="C3" s="52" t="s">
        <v>65</v>
      </c>
      <c r="D3" s="11" t="s">
        <v>11</v>
      </c>
      <c r="E3" s="11" t="s">
        <v>6</v>
      </c>
      <c r="F3" s="11" t="s">
        <v>66</v>
      </c>
      <c r="G3" s="11" t="s">
        <v>12</v>
      </c>
      <c r="H3" s="11" t="s">
        <v>8</v>
      </c>
    </row>
    <row r="4" spans="2:8" x14ac:dyDescent="0.4">
      <c r="B4" s="12" t="s">
        <v>89</v>
      </c>
      <c r="C4" s="14">
        <v>500000</v>
      </c>
      <c r="D4" s="14">
        <v>200000</v>
      </c>
      <c r="E4" s="14">
        <v>300000</v>
      </c>
      <c r="F4" s="12" t="s">
        <v>102</v>
      </c>
      <c r="G4" s="14">
        <v>1800000</v>
      </c>
      <c r="H4" s="14">
        <f>SUM(C4:G4)</f>
        <v>2800000</v>
      </c>
    </row>
    <row r="5" spans="2:8" x14ac:dyDescent="0.4">
      <c r="B5" s="13" t="s">
        <v>91</v>
      </c>
      <c r="C5" s="4">
        <v>180000</v>
      </c>
      <c r="D5" s="4"/>
      <c r="E5" s="4">
        <v>36000</v>
      </c>
      <c r="F5" s="4"/>
      <c r="G5" s="4"/>
      <c r="H5" s="14">
        <f t="shared" ref="H5:H10" si="0">SUM(C5:G5)</f>
        <v>216000</v>
      </c>
    </row>
    <row r="6" spans="2:8" x14ac:dyDescent="0.4">
      <c r="B6" s="13" t="s">
        <v>67</v>
      </c>
      <c r="C6" s="4"/>
      <c r="D6" s="4"/>
      <c r="E6" s="4">
        <v>-21600</v>
      </c>
      <c r="F6" s="4"/>
      <c r="G6" s="4"/>
      <c r="H6" s="14">
        <f t="shared" si="0"/>
        <v>-21600</v>
      </c>
    </row>
    <row r="7" spans="2:8" x14ac:dyDescent="0.4">
      <c r="B7" s="13" t="s">
        <v>173</v>
      </c>
      <c r="C7" s="4">
        <v>340000</v>
      </c>
      <c r="D7" s="4"/>
      <c r="E7" s="4"/>
      <c r="F7" s="4"/>
      <c r="G7" s="4">
        <f>-C7</f>
        <v>-340000</v>
      </c>
      <c r="H7" s="14">
        <f t="shared" si="0"/>
        <v>0</v>
      </c>
    </row>
    <row r="8" spans="2:8" x14ac:dyDescent="0.4">
      <c r="B8" s="13" t="s">
        <v>174</v>
      </c>
      <c r="C8" s="4"/>
      <c r="D8" s="4"/>
      <c r="E8" s="4"/>
      <c r="F8" s="4">
        <v>100000</v>
      </c>
      <c r="G8" s="4">
        <v>-100000</v>
      </c>
      <c r="H8" s="14">
        <f t="shared" si="0"/>
        <v>0</v>
      </c>
    </row>
    <row r="9" spans="2:8" x14ac:dyDescent="0.4">
      <c r="B9" s="13" t="s">
        <v>171</v>
      </c>
      <c r="C9" s="4"/>
      <c r="D9" s="4"/>
      <c r="E9" s="4"/>
      <c r="F9" s="4"/>
      <c r="G9" s="4">
        <v>-800000</v>
      </c>
      <c r="H9" s="14">
        <f t="shared" si="0"/>
        <v>-800000</v>
      </c>
    </row>
    <row r="10" spans="2:8" x14ac:dyDescent="0.4">
      <c r="B10" s="13" t="s">
        <v>162</v>
      </c>
      <c r="C10" s="4"/>
      <c r="D10" s="4"/>
      <c r="E10" s="4"/>
      <c r="F10" s="4"/>
      <c r="G10" s="4">
        <v>-85000</v>
      </c>
      <c r="H10" s="14">
        <f t="shared" si="0"/>
        <v>-85000</v>
      </c>
    </row>
    <row r="11" spans="2:8" x14ac:dyDescent="0.4">
      <c r="B11" s="12" t="s">
        <v>90</v>
      </c>
      <c r="C11" s="14">
        <f>SUM(C4:C10)</f>
        <v>1020000</v>
      </c>
      <c r="D11" s="14">
        <f t="shared" ref="D11:H11" si="1">SUM(D4:D10)</f>
        <v>200000</v>
      </c>
      <c r="E11" s="14">
        <f t="shared" si="1"/>
        <v>314400</v>
      </c>
      <c r="F11" s="14">
        <f t="shared" si="1"/>
        <v>100000</v>
      </c>
      <c r="G11" s="14">
        <f t="shared" si="1"/>
        <v>475000</v>
      </c>
      <c r="H11" s="14">
        <f t="shared" si="1"/>
        <v>2109400</v>
      </c>
    </row>
    <row r="13" spans="2:8" ht="21" x14ac:dyDescent="0.7">
      <c r="B13" s="3" t="s">
        <v>13</v>
      </c>
    </row>
    <row r="14" spans="2:8" ht="18.5" thickBot="1" x14ac:dyDescent="0.45"/>
    <row r="15" spans="2:8" x14ac:dyDescent="0.4">
      <c r="B15" s="83" t="s">
        <v>91</v>
      </c>
      <c r="C15" s="80" t="s">
        <v>92</v>
      </c>
      <c r="D15" s="81">
        <v>216000</v>
      </c>
      <c r="F15" s="48">
        <v>1.2</v>
      </c>
    </row>
    <row r="16" spans="2:8" x14ac:dyDescent="0.4">
      <c r="C16" s="64" t="s">
        <v>69</v>
      </c>
      <c r="D16" s="65">
        <v>180000</v>
      </c>
      <c r="F16" s="48">
        <v>1</v>
      </c>
    </row>
    <row r="17" spans="2:7" x14ac:dyDescent="0.4">
      <c r="C17" s="64" t="s">
        <v>33</v>
      </c>
      <c r="D17" s="65">
        <v>36000</v>
      </c>
      <c r="E17" s="1" t="s">
        <v>93</v>
      </c>
      <c r="F17" s="48">
        <v>0.2</v>
      </c>
    </row>
    <row r="18" spans="2:7" x14ac:dyDescent="0.4">
      <c r="C18" s="64"/>
      <c r="D18" s="65"/>
      <c r="G18" s="1" t="s">
        <v>44</v>
      </c>
    </row>
    <row r="19" spans="2:7" x14ac:dyDescent="0.4">
      <c r="C19" s="64" t="s">
        <v>85</v>
      </c>
      <c r="D19" s="65">
        <v>21600</v>
      </c>
      <c r="E19" s="1" t="s">
        <v>94</v>
      </c>
    </row>
    <row r="20" spans="2:7" ht="18.5" thickBot="1" x14ac:dyDescent="0.45">
      <c r="C20" s="66" t="s">
        <v>83</v>
      </c>
      <c r="D20" s="67">
        <v>21600</v>
      </c>
    </row>
    <row r="22" spans="2:7" ht="18.5" thickBot="1" x14ac:dyDescent="0.45"/>
    <row r="23" spans="2:7" x14ac:dyDescent="0.4">
      <c r="C23" s="80" t="s">
        <v>92</v>
      </c>
      <c r="D23" s="82">
        <f>216000*90%</f>
        <v>194400</v>
      </c>
      <c r="E23" s="1" t="s">
        <v>183</v>
      </c>
    </row>
    <row r="24" spans="2:7" x14ac:dyDescent="0.4">
      <c r="C24" s="64" t="s">
        <v>69</v>
      </c>
      <c r="D24" s="65">
        <v>180000</v>
      </c>
      <c r="G24" s="1" t="s">
        <v>43</v>
      </c>
    </row>
    <row r="25" spans="2:7" ht="18.5" thickBot="1" x14ac:dyDescent="0.45">
      <c r="C25" s="66" t="s">
        <v>33</v>
      </c>
      <c r="D25" s="67">
        <f>D23-D24</f>
        <v>14400</v>
      </c>
    </row>
    <row r="28" spans="2:7" x14ac:dyDescent="0.4">
      <c r="B28" s="83" t="s">
        <v>173</v>
      </c>
      <c r="C28" s="1" t="s">
        <v>49</v>
      </c>
      <c r="D28" s="1">
        <v>340000</v>
      </c>
      <c r="E28" s="1" t="s">
        <v>175</v>
      </c>
    </row>
    <row r="29" spans="2:7" x14ac:dyDescent="0.4">
      <c r="B29" s="83"/>
      <c r="C29" s="1" t="s">
        <v>69</v>
      </c>
      <c r="D29" s="1">
        <v>340000</v>
      </c>
    </row>
    <row r="30" spans="2:7" x14ac:dyDescent="0.4">
      <c r="B30" s="83"/>
    </row>
    <row r="31" spans="2:7" x14ac:dyDescent="0.4">
      <c r="B31" s="83" t="s">
        <v>174</v>
      </c>
      <c r="C31" s="1" t="s">
        <v>49</v>
      </c>
      <c r="D31" s="1">
        <v>100000</v>
      </c>
    </row>
    <row r="32" spans="2:7" x14ac:dyDescent="0.4">
      <c r="C32" s="1" t="s">
        <v>176</v>
      </c>
      <c r="D32" s="1">
        <v>100000</v>
      </c>
    </row>
    <row r="34" spans="2:8" x14ac:dyDescent="0.4">
      <c r="B34" s="83" t="s">
        <v>88</v>
      </c>
      <c r="C34" s="1" t="s">
        <v>49</v>
      </c>
      <c r="D34" s="1">
        <v>85000</v>
      </c>
    </row>
    <row r="35" spans="2:8" x14ac:dyDescent="0.4">
      <c r="C35" s="1" t="s">
        <v>51</v>
      </c>
      <c r="D35" s="1">
        <v>85000</v>
      </c>
    </row>
    <row r="37" spans="2:8" ht="21" x14ac:dyDescent="0.7">
      <c r="B37" s="85" t="s">
        <v>73</v>
      </c>
      <c r="C37" s="85"/>
      <c r="D37" s="85"/>
    </row>
    <row r="39" spans="2:8" x14ac:dyDescent="0.4">
      <c r="B39" s="29"/>
      <c r="C39" s="30" t="s">
        <v>68</v>
      </c>
      <c r="D39" s="30" t="s">
        <v>11</v>
      </c>
      <c r="E39" s="30" t="s">
        <v>71</v>
      </c>
      <c r="F39" s="30" t="s">
        <v>66</v>
      </c>
      <c r="G39" s="30" t="s">
        <v>12</v>
      </c>
      <c r="H39" s="30" t="s">
        <v>8</v>
      </c>
    </row>
    <row r="40" spans="2:8" x14ac:dyDescent="0.4">
      <c r="B40" s="31"/>
      <c r="C40" s="32"/>
      <c r="D40" s="32"/>
      <c r="E40" s="32"/>
      <c r="F40" s="32"/>
      <c r="G40" s="32"/>
      <c r="H40" s="32"/>
    </row>
    <row r="41" spans="2:8" x14ac:dyDescent="0.4">
      <c r="B41" s="33"/>
      <c r="C41" s="32"/>
      <c r="D41" s="32"/>
      <c r="E41" s="32"/>
      <c r="F41" s="32"/>
      <c r="G41" s="32"/>
      <c r="H41" s="32"/>
    </row>
    <row r="42" spans="2:8" x14ac:dyDescent="0.4">
      <c r="B42" s="33"/>
      <c r="C42" s="32"/>
      <c r="D42" s="34"/>
      <c r="E42" s="34"/>
      <c r="F42" s="34"/>
      <c r="G42" s="34"/>
      <c r="H42" s="32"/>
    </row>
    <row r="43" spans="2:8" x14ac:dyDescent="0.4">
      <c r="B43" s="33"/>
      <c r="C43" s="32"/>
      <c r="D43" s="34"/>
      <c r="E43" s="34"/>
      <c r="F43" s="34"/>
      <c r="G43" s="34"/>
      <c r="H43" s="32"/>
    </row>
    <row r="44" spans="2:8" x14ac:dyDescent="0.4">
      <c r="B44" s="33"/>
      <c r="C44" s="32"/>
      <c r="D44" s="34"/>
      <c r="E44" s="32"/>
      <c r="F44" s="32"/>
      <c r="G44" s="34"/>
      <c r="H44" s="32"/>
    </row>
    <row r="45" spans="2:8" x14ac:dyDescent="0.4">
      <c r="B45" s="33"/>
      <c r="C45" s="32"/>
      <c r="D45" s="34"/>
      <c r="E45" s="32"/>
      <c r="F45" s="32"/>
      <c r="G45" s="34"/>
      <c r="H45" s="32"/>
    </row>
    <row r="46" spans="2:8" x14ac:dyDescent="0.4">
      <c r="B46" s="35"/>
      <c r="C46" s="36"/>
      <c r="D46" s="36"/>
      <c r="E46" s="36"/>
      <c r="F46" s="36"/>
      <c r="G46" s="36"/>
      <c r="H46" s="36"/>
    </row>
    <row r="47" spans="2:8" x14ac:dyDescent="0.4">
      <c r="B47" s="33"/>
      <c r="C47" s="32"/>
      <c r="D47" s="34"/>
      <c r="E47" s="37"/>
      <c r="F47" s="32"/>
      <c r="G47" s="34"/>
      <c r="H47" s="32"/>
    </row>
    <row r="48" spans="2:8" x14ac:dyDescent="0.4">
      <c r="B48" s="38"/>
      <c r="C48" s="32"/>
      <c r="D48" s="34"/>
      <c r="E48" s="32"/>
      <c r="F48" s="32"/>
      <c r="G48" s="34"/>
      <c r="H48" s="32"/>
    </row>
    <row r="49" spans="2:8" x14ac:dyDescent="0.4">
      <c r="B49" s="38"/>
      <c r="C49" s="32"/>
      <c r="D49" s="34"/>
      <c r="E49" s="34"/>
      <c r="F49" s="34"/>
      <c r="G49" s="34"/>
      <c r="H49" s="32"/>
    </row>
    <row r="50" spans="2:8" x14ac:dyDescent="0.4">
      <c r="B50" s="39"/>
      <c r="C50" s="40"/>
      <c r="D50" s="40"/>
      <c r="E50" s="40"/>
      <c r="F50" s="40"/>
      <c r="G50" s="40"/>
      <c r="H50" s="40"/>
    </row>
    <row r="51" spans="2:8" x14ac:dyDescent="0.4">
      <c r="B51" s="41"/>
      <c r="C51" s="34"/>
      <c r="D51" s="34"/>
      <c r="E51" s="34"/>
      <c r="F51" s="34"/>
      <c r="G51" s="34"/>
      <c r="H51" s="32"/>
    </row>
    <row r="52" spans="2:8" x14ac:dyDescent="0.4">
      <c r="B52" s="42"/>
      <c r="C52" s="34"/>
      <c r="D52" s="34"/>
      <c r="E52" s="34"/>
      <c r="F52" s="34"/>
      <c r="G52" s="34"/>
      <c r="H52" s="32"/>
    </row>
    <row r="53" spans="2:8" x14ac:dyDescent="0.4">
      <c r="B53" s="38"/>
      <c r="C53" s="32"/>
      <c r="D53" s="34"/>
      <c r="E53" s="34"/>
      <c r="F53" s="34"/>
      <c r="G53" s="34"/>
      <c r="H53" s="32"/>
    </row>
    <row r="54" spans="2:8" x14ac:dyDescent="0.4">
      <c r="B54" s="41"/>
      <c r="C54" s="34"/>
      <c r="D54" s="34"/>
      <c r="E54" s="34"/>
      <c r="F54" s="34"/>
      <c r="G54" s="34"/>
      <c r="H54" s="32"/>
    </row>
    <row r="55" spans="2:8" x14ac:dyDescent="0.4">
      <c r="B55" s="39"/>
      <c r="C55" s="43"/>
      <c r="D55" s="43"/>
      <c r="E55" s="43"/>
      <c r="F55" s="43"/>
      <c r="G55" s="43"/>
      <c r="H55" s="43"/>
    </row>
    <row r="59" spans="2:8" x14ac:dyDescent="0.4">
      <c r="B59" s="44" t="s">
        <v>72</v>
      </c>
      <c r="D59" s="44"/>
      <c r="E59" s="29"/>
      <c r="F59" s="29"/>
      <c r="G59" s="29"/>
    </row>
    <row r="60" spans="2:8" x14ac:dyDescent="0.4">
      <c r="C60" s="29"/>
      <c r="D60" s="29"/>
      <c r="E60" s="45"/>
      <c r="F60" s="29"/>
      <c r="G60" s="29"/>
    </row>
    <row r="61" spans="2:8" x14ac:dyDescent="0.4">
      <c r="C61" s="29"/>
      <c r="D61" s="29"/>
      <c r="E61" s="45"/>
      <c r="F61" s="29"/>
      <c r="G61" s="29"/>
    </row>
    <row r="62" spans="2:8" x14ac:dyDescent="0.4">
      <c r="C62" s="29"/>
      <c r="D62" s="29"/>
      <c r="E62" s="45"/>
      <c r="F62" s="29"/>
      <c r="G62" s="29"/>
    </row>
    <row r="63" spans="2:8" x14ac:dyDescent="0.4">
      <c r="C63" s="29"/>
      <c r="D63" s="29"/>
      <c r="E63" s="45"/>
      <c r="F63" s="29"/>
      <c r="G63" s="29"/>
    </row>
    <row r="64" spans="2:8" x14ac:dyDescent="0.4">
      <c r="C64" s="29"/>
      <c r="D64" s="29"/>
      <c r="E64" s="45"/>
      <c r="F64" s="29"/>
      <c r="G64" s="29"/>
    </row>
    <row r="65" spans="3:7" x14ac:dyDescent="0.4">
      <c r="C65" s="29"/>
      <c r="D65" s="29"/>
      <c r="E65" s="45"/>
      <c r="F65" s="29"/>
      <c r="G65" s="29"/>
    </row>
    <row r="66" spans="3:7" x14ac:dyDescent="0.4">
      <c r="C66" s="29"/>
      <c r="D66" s="29"/>
      <c r="E66" s="45"/>
      <c r="F66" s="29"/>
      <c r="G66" s="29"/>
    </row>
    <row r="67" spans="3:7" x14ac:dyDescent="0.4">
      <c r="C67" s="29"/>
      <c r="D67" s="29"/>
      <c r="E67" s="45"/>
      <c r="F67" s="29"/>
      <c r="G67" s="29"/>
    </row>
    <row r="68" spans="3:7" x14ac:dyDescent="0.4">
      <c r="C68" s="29"/>
      <c r="D68" s="29"/>
      <c r="E68" s="45"/>
      <c r="F68" s="29"/>
      <c r="G68" s="29"/>
    </row>
    <row r="69" spans="3:7" x14ac:dyDescent="0.4">
      <c r="C69" s="29"/>
      <c r="D69" s="29"/>
      <c r="E69" s="45"/>
      <c r="F69" s="29"/>
      <c r="G69" s="29"/>
    </row>
    <row r="70" spans="3:7" x14ac:dyDescent="0.4">
      <c r="C70" s="29"/>
      <c r="D70" s="29"/>
      <c r="E70" s="45"/>
      <c r="F70" s="29"/>
      <c r="G70" s="29"/>
    </row>
    <row r="71" spans="3:7" x14ac:dyDescent="0.4">
      <c r="C71" s="29"/>
      <c r="D71" s="29"/>
      <c r="E71" s="46"/>
      <c r="F71" s="29"/>
      <c r="G71" s="29"/>
    </row>
    <row r="72" spans="3:7" x14ac:dyDescent="0.4">
      <c r="C72" s="29"/>
      <c r="D72" s="29"/>
      <c r="E72" s="46"/>
      <c r="F72" s="29"/>
      <c r="G72" s="29"/>
    </row>
    <row r="73" spans="3:7" x14ac:dyDescent="0.4">
      <c r="C73" s="29"/>
      <c r="D73" s="29"/>
      <c r="E73" s="46"/>
      <c r="F73" s="29"/>
      <c r="G73" s="29"/>
    </row>
    <row r="74" spans="3:7" x14ac:dyDescent="0.4">
      <c r="C74" s="44"/>
      <c r="D74" s="44"/>
      <c r="E74" s="45"/>
      <c r="F74" s="29"/>
      <c r="G74" s="29"/>
    </row>
    <row r="75" spans="3:7" x14ac:dyDescent="0.4">
      <c r="C75" s="44"/>
      <c r="D75" s="44"/>
      <c r="E75" s="45"/>
      <c r="F75" s="29"/>
      <c r="G75" s="29"/>
    </row>
    <row r="76" spans="3:7" x14ac:dyDescent="0.4">
      <c r="C76" s="29"/>
      <c r="D76" s="29"/>
      <c r="E76" s="45"/>
      <c r="F76" s="29"/>
      <c r="G76" s="29"/>
    </row>
    <row r="77" spans="3:7" x14ac:dyDescent="0.4">
      <c r="C77" s="29"/>
      <c r="D77" s="29"/>
      <c r="E77" s="45"/>
      <c r="F77" s="29"/>
      <c r="G77" s="29"/>
    </row>
    <row r="78" spans="3:7" x14ac:dyDescent="0.4">
      <c r="C78" s="29"/>
      <c r="D78" s="29"/>
      <c r="E78" s="45"/>
      <c r="F78" s="29"/>
      <c r="G78" s="29"/>
    </row>
    <row r="79" spans="3:7" x14ac:dyDescent="0.4">
      <c r="C79" s="29"/>
      <c r="D79" s="29"/>
      <c r="E79" s="45"/>
      <c r="F79" s="29"/>
      <c r="G79" s="29"/>
    </row>
    <row r="80" spans="3:7" x14ac:dyDescent="0.4">
      <c r="C80" s="29"/>
      <c r="D80" s="29"/>
      <c r="E80" s="45"/>
      <c r="F80" s="29"/>
      <c r="G80" s="29"/>
    </row>
    <row r="81" spans="3:7" x14ac:dyDescent="0.4">
      <c r="C81" s="29"/>
      <c r="D81" s="29"/>
      <c r="E81" s="45"/>
      <c r="F81" s="29"/>
      <c r="G81" s="29"/>
    </row>
    <row r="82" spans="3:7" x14ac:dyDescent="0.4">
      <c r="C82" s="44"/>
      <c r="D82" s="44"/>
      <c r="E82" s="45"/>
      <c r="F82" s="29"/>
      <c r="G82" s="29"/>
    </row>
    <row r="83" spans="3:7" x14ac:dyDescent="0.4">
      <c r="C83" s="29"/>
      <c r="D83" s="29"/>
      <c r="E83" s="45"/>
      <c r="F83" s="29"/>
      <c r="G83" s="29"/>
    </row>
    <row r="84" spans="3:7" x14ac:dyDescent="0.4">
      <c r="C84" s="29"/>
      <c r="D84" s="29"/>
      <c r="E84" s="45"/>
      <c r="F84" s="29"/>
      <c r="G84" s="29"/>
    </row>
    <row r="85" spans="3:7" x14ac:dyDescent="0.4">
      <c r="C85" s="29"/>
      <c r="D85" s="29"/>
      <c r="E85" s="45"/>
      <c r="F85" s="29"/>
      <c r="G85" s="29"/>
    </row>
    <row r="86" spans="3:7" x14ac:dyDescent="0.4">
      <c r="C86" s="29"/>
      <c r="D86" s="29"/>
      <c r="E86" s="45"/>
      <c r="F86" s="29"/>
      <c r="G86" s="29"/>
    </row>
    <row r="87" spans="3:7" x14ac:dyDescent="0.4">
      <c r="C87" s="29"/>
      <c r="D87" s="29"/>
      <c r="E87" s="45"/>
      <c r="F87" s="29"/>
      <c r="G87" s="29"/>
    </row>
    <row r="88" spans="3:7" x14ac:dyDescent="0.4">
      <c r="C88" s="29"/>
      <c r="D88" s="29"/>
      <c r="E88" s="45"/>
      <c r="F88" s="29"/>
      <c r="G88" s="29"/>
    </row>
    <row r="89" spans="3:7" x14ac:dyDescent="0.4">
      <c r="C89" s="29"/>
      <c r="D89" s="29"/>
      <c r="E89" s="45"/>
      <c r="F89" s="29"/>
      <c r="G89" s="29"/>
    </row>
    <row r="90" spans="3:7" x14ac:dyDescent="0.4">
      <c r="C90" s="29"/>
      <c r="D90" s="29"/>
      <c r="E90" s="45"/>
      <c r="F90" s="29"/>
      <c r="G90" s="29"/>
    </row>
    <row r="91" spans="3:7" x14ac:dyDescent="0.4">
      <c r="C91" s="29"/>
      <c r="D91" s="29"/>
      <c r="E91" s="45"/>
      <c r="F91" s="29"/>
      <c r="G91" s="29"/>
    </row>
    <row r="92" spans="3:7" x14ac:dyDescent="0.4">
      <c r="C92" s="29"/>
      <c r="D92" s="29"/>
      <c r="E92" s="45"/>
      <c r="F92" s="29"/>
      <c r="G92" s="29"/>
    </row>
  </sheetData>
  <mergeCells count="2">
    <mergeCell ref="B37:D37"/>
    <mergeCell ref="B1:D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4A34-5EAC-4C63-86D9-18CAE3638134}">
  <dimension ref="A2:H80"/>
  <sheetViews>
    <sheetView rightToLeft="1" zoomScaleNormal="100" workbookViewId="0">
      <selection activeCell="F17" sqref="F17"/>
    </sheetView>
  </sheetViews>
  <sheetFormatPr defaultRowHeight="18" x14ac:dyDescent="0.4"/>
  <cols>
    <col min="1" max="1" width="10.83203125" style="83" customWidth="1"/>
    <col min="2" max="2" width="23.5" style="1" customWidth="1"/>
    <col min="3" max="3" width="17.4140625" style="1" customWidth="1"/>
    <col min="4" max="4" width="17.6640625" style="1" customWidth="1"/>
    <col min="5" max="5" width="13.6640625" style="1" customWidth="1"/>
    <col min="6" max="6" width="13.25" style="1" customWidth="1"/>
    <col min="7" max="7" width="21.25" style="1" customWidth="1"/>
    <col min="8" max="8" width="12.6640625" style="1" customWidth="1"/>
    <col min="9" max="10" width="8.6640625" style="1"/>
    <col min="11" max="11" width="12.58203125" style="1" customWidth="1"/>
    <col min="12" max="16384" width="8.6640625" style="1"/>
  </cols>
  <sheetData>
    <row r="2" spans="2:8" ht="21" x14ac:dyDescent="0.7">
      <c r="B2" s="85" t="s">
        <v>167</v>
      </c>
      <c r="C2" s="85"/>
      <c r="D2" s="85"/>
      <c r="E2" s="85"/>
      <c r="F2" s="85"/>
      <c r="G2" s="85"/>
    </row>
    <row r="3" spans="2:8" ht="21" x14ac:dyDescent="0.7">
      <c r="C3" s="69"/>
      <c r="D3" s="69"/>
      <c r="E3" s="69"/>
      <c r="F3" s="69"/>
      <c r="G3" s="69"/>
    </row>
    <row r="4" spans="2:8" ht="21" x14ac:dyDescent="0.7">
      <c r="B4" s="85" t="s">
        <v>160</v>
      </c>
      <c r="C4" s="85"/>
      <c r="D4" s="85"/>
      <c r="E4" s="85"/>
      <c r="F4" s="85"/>
      <c r="G4" s="85"/>
    </row>
    <row r="6" spans="2:8" ht="21" x14ac:dyDescent="0.7">
      <c r="B6" s="70" t="s">
        <v>155</v>
      </c>
      <c r="C6" s="70" t="s">
        <v>156</v>
      </c>
      <c r="D6" s="70" t="s">
        <v>157</v>
      </c>
      <c r="E6" s="70" t="s">
        <v>6</v>
      </c>
      <c r="F6" s="70" t="s">
        <v>12</v>
      </c>
      <c r="G6" s="70" t="s">
        <v>158</v>
      </c>
      <c r="H6" s="70" t="s">
        <v>8</v>
      </c>
    </row>
    <row r="7" spans="2:8" x14ac:dyDescent="0.4">
      <c r="B7" s="12" t="s">
        <v>89</v>
      </c>
      <c r="C7" s="14">
        <v>250000</v>
      </c>
      <c r="D7" s="14">
        <v>300000</v>
      </c>
      <c r="E7" s="14">
        <v>150000</v>
      </c>
      <c r="F7" s="14">
        <v>700000</v>
      </c>
      <c r="G7" s="12">
        <v>0</v>
      </c>
      <c r="H7" s="14">
        <f>SUM(C7:G7)</f>
        <v>1400000</v>
      </c>
    </row>
    <row r="8" spans="2:8" x14ac:dyDescent="0.4">
      <c r="B8" s="13" t="s">
        <v>163</v>
      </c>
      <c r="C8" s="4"/>
      <c r="D8" s="4"/>
      <c r="E8" s="4"/>
      <c r="F8" s="4"/>
      <c r="G8" s="4">
        <v>90000</v>
      </c>
      <c r="H8" s="14">
        <f t="shared" ref="H8:H13" si="0">SUM(C8:G8)</f>
        <v>90000</v>
      </c>
    </row>
    <row r="9" spans="2:8" x14ac:dyDescent="0.4">
      <c r="B9" s="13" t="s">
        <v>164</v>
      </c>
      <c r="C9" s="4">
        <v>50000</v>
      </c>
      <c r="D9" s="4"/>
      <c r="E9" s="4">
        <v>30000</v>
      </c>
      <c r="F9" s="4"/>
      <c r="G9" s="4"/>
      <c r="H9" s="14">
        <f t="shared" si="0"/>
        <v>80000</v>
      </c>
    </row>
    <row r="10" spans="2:8" x14ac:dyDescent="0.4">
      <c r="B10" s="13" t="s">
        <v>165</v>
      </c>
      <c r="C10" s="4">
        <v>60000</v>
      </c>
      <c r="D10" s="4"/>
      <c r="E10" s="4">
        <v>-60000</v>
      </c>
      <c r="F10" s="4"/>
      <c r="G10" s="4"/>
      <c r="H10" s="14">
        <f t="shared" si="0"/>
        <v>0</v>
      </c>
    </row>
    <row r="11" spans="2:8" x14ac:dyDescent="0.4">
      <c r="B11" s="13" t="s">
        <v>166</v>
      </c>
      <c r="C11" s="4">
        <v>6000</v>
      </c>
      <c r="D11" s="4"/>
      <c r="E11" s="4">
        <v>36000</v>
      </c>
      <c r="F11" s="4"/>
      <c r="G11" s="4">
        <v>-18000</v>
      </c>
      <c r="H11" s="14">
        <f t="shared" si="0"/>
        <v>24000</v>
      </c>
    </row>
    <row r="12" spans="2:8" x14ac:dyDescent="0.4">
      <c r="B12" s="13" t="s">
        <v>161</v>
      </c>
      <c r="C12" s="4"/>
      <c r="D12" s="4"/>
      <c r="E12" s="4"/>
      <c r="F12" s="4">
        <v>200000</v>
      </c>
      <c r="G12" s="4"/>
      <c r="H12" s="14">
        <f t="shared" si="0"/>
        <v>200000</v>
      </c>
    </row>
    <row r="13" spans="2:8" x14ac:dyDescent="0.4">
      <c r="B13" s="13" t="s">
        <v>162</v>
      </c>
      <c r="C13" s="4"/>
      <c r="D13" s="4"/>
      <c r="E13" s="4"/>
      <c r="F13" s="4">
        <v>-40000</v>
      </c>
      <c r="G13" s="4"/>
      <c r="H13" s="14">
        <f t="shared" si="0"/>
        <v>-40000</v>
      </c>
    </row>
    <row r="14" spans="2:8" x14ac:dyDescent="0.4">
      <c r="B14" s="12" t="s">
        <v>90</v>
      </c>
      <c r="C14" s="14">
        <f>SUM(C7:C13)</f>
        <v>366000</v>
      </c>
      <c r="D14" s="14">
        <f t="shared" ref="D14:H14" si="1">SUM(D7:D13)</f>
        <v>300000</v>
      </c>
      <c r="E14" s="14">
        <f t="shared" si="1"/>
        <v>156000</v>
      </c>
      <c r="F14" s="14">
        <f t="shared" si="1"/>
        <v>860000</v>
      </c>
      <c r="G14" s="14">
        <f t="shared" si="1"/>
        <v>72000</v>
      </c>
      <c r="H14" s="14">
        <f t="shared" si="1"/>
        <v>1754000</v>
      </c>
    </row>
    <row r="15" spans="2:8" x14ac:dyDescent="0.4">
      <c r="B15" s="71"/>
      <c r="C15" s="72"/>
      <c r="D15" s="72"/>
      <c r="E15" s="72"/>
      <c r="F15" s="72"/>
      <c r="G15" s="72"/>
      <c r="H15" s="72"/>
    </row>
    <row r="16" spans="2:8" ht="21" x14ac:dyDescent="0.7">
      <c r="B16" s="3" t="s">
        <v>13</v>
      </c>
      <c r="D16" s="58"/>
    </row>
    <row r="17" spans="1:8" x14ac:dyDescent="0.4">
      <c r="A17" s="83" t="s">
        <v>163</v>
      </c>
      <c r="B17" s="2" t="s">
        <v>30</v>
      </c>
      <c r="C17" s="2">
        <v>90000</v>
      </c>
      <c r="D17" s="2" t="s">
        <v>177</v>
      </c>
      <c r="E17" s="2"/>
    </row>
    <row r="18" spans="1:8" x14ac:dyDescent="0.4">
      <c r="B18" s="2" t="s">
        <v>110</v>
      </c>
      <c r="C18" s="2">
        <v>90000</v>
      </c>
      <c r="D18" s="2"/>
      <c r="E18" s="2"/>
    </row>
    <row r="19" spans="1:8" x14ac:dyDescent="0.4">
      <c r="B19" s="2"/>
      <c r="C19" s="2"/>
      <c r="D19" s="2"/>
      <c r="E19" s="2"/>
    </row>
    <row r="20" spans="1:8" x14ac:dyDescent="0.4">
      <c r="A20" s="83" t="s">
        <v>164</v>
      </c>
      <c r="B20" s="2" t="s">
        <v>30</v>
      </c>
      <c r="C20" s="2">
        <v>80000</v>
      </c>
      <c r="D20" s="2"/>
      <c r="E20" s="2"/>
    </row>
    <row r="21" spans="1:8" x14ac:dyDescent="0.4">
      <c r="B21" s="2" t="s">
        <v>69</v>
      </c>
      <c r="C21" s="2">
        <v>50000</v>
      </c>
      <c r="D21" s="2" t="s">
        <v>178</v>
      </c>
      <c r="E21" s="2"/>
    </row>
    <row r="22" spans="1:8" x14ac:dyDescent="0.4">
      <c r="B22" s="2" t="s">
        <v>33</v>
      </c>
      <c r="C22" s="2">
        <f>C20-C21</f>
        <v>30000</v>
      </c>
      <c r="D22" s="2"/>
      <c r="E22" s="2"/>
    </row>
    <row r="23" spans="1:8" x14ac:dyDescent="0.4">
      <c r="B23" s="2"/>
      <c r="C23" s="2"/>
      <c r="D23" s="2"/>
      <c r="E23" s="2"/>
      <c r="G23" s="10"/>
      <c r="H23" s="10"/>
    </row>
    <row r="24" spans="1:8" x14ac:dyDescent="0.4">
      <c r="A24" s="83" t="s">
        <v>165</v>
      </c>
      <c r="B24" s="2" t="s">
        <v>42</v>
      </c>
      <c r="C24" s="2">
        <v>60000</v>
      </c>
      <c r="D24" s="2" t="s">
        <v>179</v>
      </c>
      <c r="E24" s="2"/>
    </row>
    <row r="25" spans="1:8" x14ac:dyDescent="0.4">
      <c r="B25" s="2" t="s">
        <v>69</v>
      </c>
      <c r="C25" s="2">
        <v>60000</v>
      </c>
      <c r="D25" s="2"/>
      <c r="E25" s="2"/>
    </row>
    <row r="26" spans="1:8" x14ac:dyDescent="0.4">
      <c r="B26" s="2"/>
      <c r="C26" s="2"/>
      <c r="D26" s="2"/>
      <c r="E26" s="2"/>
    </row>
    <row r="27" spans="1:8" x14ac:dyDescent="0.4">
      <c r="A27" s="83" t="s">
        <v>166</v>
      </c>
      <c r="B27" s="87" t="s">
        <v>112</v>
      </c>
      <c r="C27" s="88"/>
      <c r="D27" s="73">
        <v>6000</v>
      </c>
      <c r="E27" s="2" t="s">
        <v>122</v>
      </c>
    </row>
    <row r="28" spans="1:8" x14ac:dyDescent="0.4">
      <c r="B28" s="2"/>
      <c r="C28" s="2"/>
      <c r="D28" s="2"/>
      <c r="E28" s="2"/>
    </row>
    <row r="29" spans="1:8" x14ac:dyDescent="0.4">
      <c r="B29" s="2" t="s">
        <v>30</v>
      </c>
      <c r="C29" s="2">
        <v>24000</v>
      </c>
      <c r="D29" s="2" t="s">
        <v>180</v>
      </c>
      <c r="E29" s="2"/>
    </row>
    <row r="30" spans="1:8" x14ac:dyDescent="0.4">
      <c r="B30" s="2" t="s">
        <v>115</v>
      </c>
      <c r="C30" s="2">
        <v>18000</v>
      </c>
      <c r="D30" s="2" t="s">
        <v>181</v>
      </c>
      <c r="E30" s="2"/>
    </row>
    <row r="31" spans="1:8" x14ac:dyDescent="0.4">
      <c r="A31" s="83" t="s">
        <v>117</v>
      </c>
      <c r="B31" s="2" t="s">
        <v>69</v>
      </c>
      <c r="C31" s="2">
        <v>6000</v>
      </c>
      <c r="D31" s="2" t="s">
        <v>182</v>
      </c>
      <c r="E31" s="2"/>
    </row>
    <row r="32" spans="1:8" x14ac:dyDescent="0.4">
      <c r="B32" s="2" t="s">
        <v>33</v>
      </c>
      <c r="C32" s="2">
        <v>36000</v>
      </c>
      <c r="D32" s="2" t="s">
        <v>185</v>
      </c>
      <c r="E32" s="2"/>
    </row>
    <row r="33" spans="1:8" x14ac:dyDescent="0.4">
      <c r="B33" s="2"/>
      <c r="C33" s="2"/>
      <c r="D33" s="2"/>
      <c r="E33" s="2"/>
    </row>
    <row r="34" spans="1:8" x14ac:dyDescent="0.4">
      <c r="A34" s="83" t="s">
        <v>159</v>
      </c>
      <c r="B34" s="2" t="s">
        <v>49</v>
      </c>
      <c r="C34" s="2">
        <v>40000</v>
      </c>
      <c r="D34" s="2"/>
      <c r="E34" s="2"/>
    </row>
    <row r="35" spans="1:8" x14ac:dyDescent="0.4">
      <c r="B35" s="2" t="s">
        <v>41</v>
      </c>
      <c r="C35" s="2">
        <v>40000</v>
      </c>
      <c r="D35" s="2"/>
      <c r="E35" s="2"/>
    </row>
    <row r="36" spans="1:8" x14ac:dyDescent="0.4">
      <c r="B36" s="2"/>
      <c r="C36" s="2"/>
      <c r="D36" s="2"/>
      <c r="E36" s="2"/>
    </row>
    <row r="37" spans="1:8" x14ac:dyDescent="0.4">
      <c r="B37" s="2"/>
      <c r="C37" s="2"/>
      <c r="D37" s="2"/>
      <c r="E37" s="2"/>
    </row>
    <row r="38" spans="1:8" ht="21" x14ac:dyDescent="0.7">
      <c r="B38" s="85" t="s">
        <v>169</v>
      </c>
      <c r="C38" s="85"/>
      <c r="D38" s="85"/>
      <c r="E38" s="85"/>
      <c r="F38" s="85"/>
      <c r="G38" s="85"/>
    </row>
    <row r="39" spans="1:8" x14ac:dyDescent="0.4">
      <c r="B39" s="2"/>
      <c r="C39" s="2"/>
      <c r="D39" s="2"/>
      <c r="E39" s="2"/>
    </row>
    <row r="40" spans="1:8" ht="21" x14ac:dyDescent="0.7">
      <c r="A40" s="84"/>
      <c r="B40" s="86" t="s">
        <v>170</v>
      </c>
      <c r="C40" s="86"/>
      <c r="D40" s="86"/>
      <c r="E40" s="86"/>
      <c r="F40" s="86"/>
      <c r="G40" s="86"/>
      <c r="H40" s="58"/>
    </row>
    <row r="41" spans="1:8" x14ac:dyDescent="0.4">
      <c r="A41" s="84"/>
      <c r="B41" s="58"/>
      <c r="C41" s="58"/>
      <c r="D41" s="58"/>
      <c r="E41" s="58"/>
      <c r="F41" s="58"/>
      <c r="G41" s="58"/>
      <c r="H41" s="58"/>
    </row>
    <row r="42" spans="1:8" ht="21" x14ac:dyDescent="0.7">
      <c r="A42" s="84"/>
      <c r="B42" s="74" t="s">
        <v>155</v>
      </c>
      <c r="C42" s="74" t="s">
        <v>168</v>
      </c>
      <c r="D42" s="74" t="s">
        <v>6</v>
      </c>
      <c r="E42" s="74" t="s">
        <v>12</v>
      </c>
      <c r="F42" s="74" t="s">
        <v>158</v>
      </c>
      <c r="G42" s="74" t="s">
        <v>66</v>
      </c>
      <c r="H42" s="74" t="s">
        <v>8</v>
      </c>
    </row>
    <row r="43" spans="1:8" x14ac:dyDescent="0.4">
      <c r="A43" s="84"/>
      <c r="B43" s="75" t="s">
        <v>89</v>
      </c>
      <c r="C43" s="76"/>
      <c r="D43" s="76"/>
      <c r="E43" s="76"/>
      <c r="F43" s="76"/>
      <c r="G43" s="76"/>
      <c r="H43" s="76"/>
    </row>
    <row r="44" spans="1:8" x14ac:dyDescent="0.4">
      <c r="A44" s="84"/>
      <c r="B44" s="73"/>
      <c r="C44" s="77"/>
      <c r="D44" s="77"/>
      <c r="E44" s="77"/>
      <c r="F44" s="77"/>
      <c r="G44" s="77"/>
      <c r="H44" s="76"/>
    </row>
    <row r="45" spans="1:8" x14ac:dyDescent="0.4">
      <c r="A45" s="84"/>
      <c r="B45" s="73"/>
      <c r="C45" s="77"/>
      <c r="D45" s="77"/>
      <c r="E45" s="77"/>
      <c r="F45" s="77"/>
      <c r="G45" s="77"/>
      <c r="H45" s="76"/>
    </row>
    <row r="46" spans="1:8" x14ac:dyDescent="0.4">
      <c r="A46" s="84"/>
      <c r="B46" s="73"/>
      <c r="C46" s="77"/>
      <c r="D46" s="77"/>
      <c r="E46" s="77"/>
      <c r="F46" s="77"/>
      <c r="G46" s="77"/>
      <c r="H46" s="76"/>
    </row>
    <row r="47" spans="1:8" x14ac:dyDescent="0.4">
      <c r="A47" s="84"/>
      <c r="B47" s="73"/>
      <c r="C47" s="77"/>
      <c r="D47" s="77"/>
      <c r="E47" s="77"/>
      <c r="F47" s="77"/>
      <c r="G47" s="77"/>
      <c r="H47" s="76"/>
    </row>
    <row r="48" spans="1:8" x14ac:dyDescent="0.4">
      <c r="A48" s="84"/>
      <c r="B48" s="73"/>
      <c r="C48" s="77"/>
      <c r="D48" s="77"/>
      <c r="E48" s="77"/>
      <c r="F48" s="77"/>
      <c r="G48" s="77"/>
      <c r="H48" s="76"/>
    </row>
    <row r="49" spans="1:8" x14ac:dyDescent="0.4">
      <c r="A49" s="84"/>
      <c r="B49" s="73" t="s">
        <v>171</v>
      </c>
      <c r="C49" s="77"/>
      <c r="D49" s="77"/>
      <c r="E49" s="77"/>
      <c r="F49" s="77"/>
      <c r="G49" s="77"/>
      <c r="H49" s="76"/>
    </row>
    <row r="50" spans="1:8" x14ac:dyDescent="0.4">
      <c r="A50" s="84"/>
      <c r="B50" s="73" t="s">
        <v>162</v>
      </c>
      <c r="C50" s="77"/>
      <c r="D50" s="77"/>
      <c r="E50" s="77"/>
      <c r="F50" s="77"/>
      <c r="G50" s="77"/>
      <c r="H50" s="76"/>
    </row>
    <row r="51" spans="1:8" x14ac:dyDescent="0.4">
      <c r="A51" s="84"/>
      <c r="B51" s="75" t="s">
        <v>90</v>
      </c>
      <c r="C51" s="76"/>
      <c r="D51" s="76"/>
      <c r="E51" s="76"/>
      <c r="F51" s="76"/>
      <c r="G51" s="76"/>
      <c r="H51" s="76"/>
    </row>
    <row r="52" spans="1:8" x14ac:dyDescent="0.4">
      <c r="A52" s="84"/>
      <c r="B52" s="58"/>
      <c r="C52" s="58"/>
      <c r="D52" s="58"/>
      <c r="E52" s="58"/>
      <c r="F52" s="58"/>
      <c r="G52" s="58"/>
      <c r="H52" s="58"/>
    </row>
    <row r="53" spans="1:8" ht="21" x14ac:dyDescent="0.7">
      <c r="A53" s="84"/>
      <c r="B53" s="78" t="s">
        <v>13</v>
      </c>
      <c r="C53" s="58"/>
      <c r="D53" s="58"/>
      <c r="E53" s="58"/>
      <c r="F53" s="58"/>
      <c r="G53" s="58"/>
      <c r="H53" s="58"/>
    </row>
    <row r="54" spans="1:8" x14ac:dyDescent="0.4">
      <c r="A54" s="84" t="s">
        <v>91</v>
      </c>
      <c r="B54" s="2"/>
      <c r="C54" s="2"/>
      <c r="D54" s="2"/>
      <c r="E54" s="2"/>
      <c r="F54" s="58"/>
      <c r="G54" s="58"/>
      <c r="H54" s="58"/>
    </row>
    <row r="55" spans="1:8" x14ac:dyDescent="0.4">
      <c r="A55" s="84"/>
      <c r="B55" s="2"/>
      <c r="C55" s="2"/>
      <c r="D55" s="2"/>
      <c r="E55" s="2"/>
      <c r="F55" s="58"/>
      <c r="G55" s="58"/>
      <c r="H55" s="58"/>
    </row>
    <row r="56" spans="1:8" x14ac:dyDescent="0.4">
      <c r="A56" s="84"/>
      <c r="B56" s="2"/>
      <c r="C56" s="2"/>
      <c r="D56" s="2"/>
      <c r="E56" s="2"/>
      <c r="F56" s="58"/>
      <c r="G56" s="58"/>
      <c r="H56" s="58"/>
    </row>
    <row r="57" spans="1:8" x14ac:dyDescent="0.4">
      <c r="A57" s="84"/>
      <c r="B57" s="2"/>
      <c r="C57" s="2"/>
      <c r="D57" s="51"/>
      <c r="E57" s="51"/>
      <c r="F57" s="58"/>
      <c r="G57" s="58"/>
      <c r="H57" s="58"/>
    </row>
    <row r="58" spans="1:8" x14ac:dyDescent="0.4">
      <c r="A58" s="84" t="s">
        <v>172</v>
      </c>
      <c r="B58" s="2"/>
      <c r="C58" s="2"/>
      <c r="D58" s="2"/>
      <c r="E58" s="2"/>
      <c r="F58" s="58"/>
      <c r="G58" s="58"/>
      <c r="H58" s="58"/>
    </row>
    <row r="59" spans="1:8" x14ac:dyDescent="0.4">
      <c r="A59" s="84"/>
      <c r="B59" s="2"/>
      <c r="C59" s="2"/>
      <c r="D59" s="2"/>
      <c r="E59" s="2"/>
      <c r="F59" s="58"/>
      <c r="G59" s="58"/>
      <c r="H59" s="58"/>
    </row>
    <row r="60" spans="1:8" x14ac:dyDescent="0.4">
      <c r="A60" s="84"/>
      <c r="B60" s="2"/>
      <c r="C60" s="2"/>
      <c r="D60" s="2"/>
      <c r="E60" s="2"/>
      <c r="F60" s="58"/>
      <c r="G60" s="58"/>
      <c r="H60" s="58"/>
    </row>
    <row r="61" spans="1:8" x14ac:dyDescent="0.4">
      <c r="A61" s="84" t="s">
        <v>173</v>
      </c>
      <c r="B61" s="2"/>
      <c r="C61" s="2"/>
      <c r="D61" s="2"/>
      <c r="E61" s="2"/>
      <c r="F61" s="58"/>
      <c r="G61" s="58"/>
      <c r="H61" s="58"/>
    </row>
    <row r="62" spans="1:8" x14ac:dyDescent="0.4">
      <c r="A62" s="84"/>
      <c r="B62" s="2"/>
      <c r="C62" s="2"/>
      <c r="D62" s="2"/>
      <c r="E62" s="2"/>
      <c r="F62" s="58"/>
      <c r="G62" s="58"/>
      <c r="H62" s="58"/>
    </row>
    <row r="63" spans="1:8" x14ac:dyDescent="0.4">
      <c r="A63" s="84"/>
      <c r="B63" s="2"/>
      <c r="C63" s="2"/>
      <c r="D63" s="2"/>
      <c r="E63" s="2"/>
      <c r="F63" s="58"/>
      <c r="G63" s="58"/>
      <c r="H63" s="58"/>
    </row>
    <row r="64" spans="1:8" x14ac:dyDescent="0.4">
      <c r="A64" s="84" t="s">
        <v>166</v>
      </c>
      <c r="B64" s="50" t="s">
        <v>112</v>
      </c>
      <c r="C64" s="2"/>
      <c r="D64" s="2"/>
      <c r="E64" s="2"/>
      <c r="F64" s="58"/>
      <c r="G64" s="58"/>
      <c r="H64" s="58"/>
    </row>
    <row r="65" spans="1:8" x14ac:dyDescent="0.4">
      <c r="A65" s="84"/>
      <c r="B65" s="2"/>
      <c r="C65" s="2"/>
      <c r="D65" s="2"/>
      <c r="E65" s="2"/>
      <c r="F65" s="58"/>
      <c r="G65" s="58"/>
      <c r="H65" s="58"/>
    </row>
    <row r="66" spans="1:8" x14ac:dyDescent="0.4">
      <c r="A66" s="84"/>
      <c r="B66" s="2"/>
      <c r="C66" s="2"/>
      <c r="D66" s="2"/>
      <c r="E66" s="79"/>
      <c r="F66" s="57"/>
      <c r="G66" s="58"/>
      <c r="H66" s="58"/>
    </row>
    <row r="67" spans="1:8" x14ac:dyDescent="0.4">
      <c r="A67" s="84"/>
      <c r="B67" s="2"/>
      <c r="C67" s="2"/>
      <c r="D67" s="2"/>
      <c r="E67" s="2"/>
      <c r="F67" s="58"/>
      <c r="G67" s="58"/>
      <c r="H67" s="58"/>
    </row>
    <row r="68" spans="1:8" x14ac:dyDescent="0.4">
      <c r="A68" s="84"/>
      <c r="B68" s="2"/>
      <c r="C68" s="2"/>
      <c r="D68" s="2"/>
      <c r="E68" s="2"/>
      <c r="F68" s="58"/>
      <c r="G68" s="58"/>
      <c r="H68" s="58"/>
    </row>
    <row r="69" spans="1:8" x14ac:dyDescent="0.4">
      <c r="A69" s="84"/>
      <c r="B69" s="2"/>
      <c r="C69" s="2"/>
      <c r="D69" s="2"/>
      <c r="E69" s="2"/>
      <c r="F69" s="58"/>
      <c r="G69" s="58"/>
      <c r="H69" s="58"/>
    </row>
    <row r="70" spans="1:8" x14ac:dyDescent="0.4">
      <c r="A70" s="84"/>
      <c r="B70" s="2"/>
      <c r="C70" s="2"/>
      <c r="D70" s="2"/>
      <c r="E70" s="2"/>
      <c r="F70" s="58"/>
      <c r="G70" s="58"/>
      <c r="H70" s="58"/>
    </row>
    <row r="71" spans="1:8" x14ac:dyDescent="0.4">
      <c r="A71" s="84" t="s">
        <v>174</v>
      </c>
      <c r="B71" s="2"/>
      <c r="C71" s="2"/>
      <c r="D71" s="2"/>
      <c r="E71" s="2"/>
      <c r="F71" s="58"/>
      <c r="G71" s="58"/>
      <c r="H71" s="58"/>
    </row>
    <row r="72" spans="1:8" x14ac:dyDescent="0.4">
      <c r="A72" s="84"/>
      <c r="B72" s="2"/>
      <c r="C72" s="2"/>
      <c r="D72" s="2"/>
      <c r="E72" s="2"/>
      <c r="F72" s="58"/>
      <c r="G72" s="58"/>
      <c r="H72" s="58"/>
    </row>
    <row r="73" spans="1:8" x14ac:dyDescent="0.4">
      <c r="A73" s="84"/>
      <c r="B73" s="2"/>
      <c r="C73" s="2"/>
      <c r="D73" s="2"/>
      <c r="E73" s="2"/>
      <c r="F73" s="58"/>
      <c r="G73" s="58"/>
      <c r="H73" s="58"/>
    </row>
    <row r="74" spans="1:8" x14ac:dyDescent="0.4">
      <c r="A74" s="84" t="s">
        <v>88</v>
      </c>
      <c r="B74" s="2"/>
      <c r="C74" s="2"/>
      <c r="D74" s="2"/>
      <c r="E74" s="2"/>
      <c r="F74" s="58"/>
      <c r="G74" s="58"/>
      <c r="H74" s="58"/>
    </row>
    <row r="75" spans="1:8" x14ac:dyDescent="0.4">
      <c r="A75" s="84"/>
      <c r="B75" s="2"/>
      <c r="C75" s="2"/>
      <c r="D75" s="2"/>
      <c r="E75" s="2"/>
      <c r="F75" s="58"/>
      <c r="G75" s="58"/>
      <c r="H75" s="58"/>
    </row>
    <row r="76" spans="1:8" x14ac:dyDescent="0.4">
      <c r="A76" s="84"/>
      <c r="B76" s="2"/>
      <c r="C76" s="2"/>
      <c r="D76" s="2"/>
      <c r="E76" s="2"/>
      <c r="F76" s="58"/>
      <c r="G76" s="58"/>
      <c r="H76" s="58"/>
    </row>
    <row r="77" spans="1:8" x14ac:dyDescent="0.4">
      <c r="A77" s="84"/>
      <c r="B77" s="58"/>
      <c r="C77" s="58"/>
      <c r="D77" s="58"/>
      <c r="E77" s="58"/>
      <c r="F77" s="58"/>
      <c r="G77" s="58"/>
      <c r="H77" s="58"/>
    </row>
    <row r="78" spans="1:8" x14ac:dyDescent="0.4">
      <c r="A78" s="84"/>
      <c r="B78" s="58"/>
      <c r="C78" s="58"/>
      <c r="D78" s="58"/>
      <c r="E78" s="58"/>
      <c r="F78" s="58"/>
      <c r="G78" s="58"/>
      <c r="H78" s="58"/>
    </row>
    <row r="79" spans="1:8" x14ac:dyDescent="0.4">
      <c r="A79" s="84"/>
      <c r="B79" s="58"/>
      <c r="C79" s="58"/>
      <c r="D79" s="58"/>
      <c r="E79" s="58"/>
      <c r="F79" s="58"/>
      <c r="G79" s="58"/>
      <c r="H79" s="58"/>
    </row>
    <row r="80" spans="1:8" x14ac:dyDescent="0.4">
      <c r="A80" s="84"/>
      <c r="B80" s="58"/>
      <c r="C80" s="58"/>
      <c r="D80" s="58"/>
      <c r="E80" s="58"/>
      <c r="F80" s="58"/>
      <c r="G80" s="58"/>
      <c r="H80" s="58"/>
    </row>
  </sheetData>
  <mergeCells count="5">
    <mergeCell ref="B2:G2"/>
    <mergeCell ref="B4:G4"/>
    <mergeCell ref="B40:G40"/>
    <mergeCell ref="B38:G38"/>
    <mergeCell ref="B27:C27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6870-767B-4D6E-BB98-38140340FA99}">
  <dimension ref="A2:J59"/>
  <sheetViews>
    <sheetView rightToLeft="1" tabSelected="1" zoomScaleNormal="100" workbookViewId="0">
      <selection activeCell="B55" sqref="B55:F55"/>
    </sheetView>
  </sheetViews>
  <sheetFormatPr defaultRowHeight="18" x14ac:dyDescent="0.4"/>
  <cols>
    <col min="1" max="1" width="5.25" style="58" customWidth="1"/>
    <col min="2" max="2" width="19.5" style="58" customWidth="1"/>
    <col min="3" max="3" width="20.4140625" style="58" customWidth="1"/>
    <col min="4" max="4" width="23.83203125" style="58" customWidth="1"/>
    <col min="5" max="5" width="17.83203125" style="58" customWidth="1"/>
    <col min="6" max="6" width="28.75" style="58" customWidth="1"/>
    <col min="7" max="7" width="12.58203125" style="58" customWidth="1"/>
    <col min="8" max="8" width="10.5" style="58" customWidth="1"/>
    <col min="9" max="9" width="12.4140625" style="58" customWidth="1"/>
    <col min="10" max="10" width="10.83203125" style="58" customWidth="1"/>
    <col min="11" max="16384" width="8.6640625" style="58"/>
  </cols>
  <sheetData>
    <row r="2" spans="1:6" ht="21" x14ac:dyDescent="0.7">
      <c r="B2" s="117" t="s">
        <v>186</v>
      </c>
      <c r="C2" s="117"/>
      <c r="D2" s="117"/>
      <c r="E2" s="111"/>
      <c r="F2" s="109"/>
    </row>
    <row r="3" spans="1:6" x14ac:dyDescent="0.4">
      <c r="A3" s="58">
        <v>1</v>
      </c>
      <c r="B3" s="58" t="s">
        <v>211</v>
      </c>
    </row>
    <row r="4" spans="1:6" x14ac:dyDescent="0.4">
      <c r="A4" s="58">
        <v>2</v>
      </c>
      <c r="B4" s="58" t="s">
        <v>212</v>
      </c>
    </row>
    <row r="7" spans="1:6" ht="21" x14ac:dyDescent="0.7">
      <c r="A7" s="86" t="s">
        <v>187</v>
      </c>
      <c r="B7" s="86"/>
      <c r="C7" s="86"/>
      <c r="D7" s="86"/>
      <c r="E7" s="111"/>
      <c r="F7" s="111"/>
    </row>
    <row r="8" spans="1:6" ht="21" x14ac:dyDescent="0.7">
      <c r="A8" s="114" t="s">
        <v>213</v>
      </c>
      <c r="B8" s="114"/>
      <c r="C8" s="114"/>
      <c r="D8" s="114"/>
      <c r="E8" s="114"/>
      <c r="F8" s="112"/>
    </row>
    <row r="9" spans="1:6" ht="21" x14ac:dyDescent="0.7">
      <c r="A9" s="57" t="s">
        <v>214</v>
      </c>
      <c r="D9" s="112"/>
      <c r="E9" s="112"/>
      <c r="F9" s="112"/>
    </row>
    <row r="10" spans="1:6" ht="21" x14ac:dyDescent="0.7">
      <c r="B10" s="110" t="s">
        <v>215</v>
      </c>
      <c r="C10" s="110"/>
      <c r="D10" s="112"/>
      <c r="E10" s="112"/>
      <c r="F10" s="112"/>
    </row>
    <row r="11" spans="1:6" ht="21" x14ac:dyDescent="0.7">
      <c r="B11" s="58" t="s">
        <v>216</v>
      </c>
      <c r="D11" s="112"/>
      <c r="E11" s="112"/>
      <c r="F11" s="112"/>
    </row>
    <row r="12" spans="1:6" ht="21" x14ac:dyDescent="0.7">
      <c r="B12" s="58" t="s">
        <v>217</v>
      </c>
      <c r="D12" s="112"/>
      <c r="E12" s="112"/>
      <c r="F12" s="112"/>
    </row>
    <row r="13" spans="1:6" ht="21" x14ac:dyDescent="0.7">
      <c r="B13" s="58" t="s">
        <v>218</v>
      </c>
      <c r="D13" s="112"/>
      <c r="E13" s="112"/>
      <c r="F13" s="112"/>
    </row>
    <row r="14" spans="1:6" ht="21.5" thickBot="1" x14ac:dyDescent="0.75">
      <c r="D14" s="112"/>
      <c r="E14" s="112"/>
      <c r="F14" s="112"/>
    </row>
    <row r="15" spans="1:6" ht="21" x14ac:dyDescent="0.7">
      <c r="B15" s="118" t="s">
        <v>219</v>
      </c>
      <c r="C15" s="119"/>
      <c r="D15" s="120"/>
      <c r="E15" s="121"/>
      <c r="F15" s="112"/>
    </row>
    <row r="16" spans="1:6" x14ac:dyDescent="0.4">
      <c r="B16" s="122" t="s">
        <v>220</v>
      </c>
      <c r="C16" s="123"/>
      <c r="D16" s="123"/>
      <c r="E16" s="124"/>
    </row>
    <row r="17" spans="2:10" x14ac:dyDescent="0.4">
      <c r="B17" s="125"/>
      <c r="C17" s="126"/>
      <c r="D17" s="126"/>
      <c r="E17" s="127"/>
    </row>
    <row r="18" spans="2:10" ht="18.5" thickBot="1" x14ac:dyDescent="0.45">
      <c r="B18" s="128" t="s">
        <v>221</v>
      </c>
      <c r="C18" s="129"/>
      <c r="D18" s="129"/>
      <c r="E18" s="130"/>
    </row>
    <row r="19" spans="2:10" x14ac:dyDescent="0.4">
      <c r="B19" s="116"/>
      <c r="C19" s="116"/>
      <c r="D19" s="116"/>
      <c r="E19" s="116"/>
    </row>
    <row r="20" spans="2:10" x14ac:dyDescent="0.4">
      <c r="B20" s="116"/>
      <c r="C20" s="116"/>
      <c r="D20" s="116"/>
      <c r="E20" s="116"/>
    </row>
    <row r="21" spans="2:10" ht="21" x14ac:dyDescent="0.7">
      <c r="B21" s="112"/>
      <c r="C21" s="112"/>
      <c r="D21" s="112"/>
      <c r="E21" s="112"/>
    </row>
    <row r="22" spans="2:10" ht="21" x14ac:dyDescent="0.7">
      <c r="B22" s="131" t="s">
        <v>222</v>
      </c>
      <c r="C22" s="131"/>
      <c r="D22" s="131"/>
      <c r="E22" s="131"/>
      <c r="I22" s="135" t="s">
        <v>226</v>
      </c>
      <c r="J22" s="135"/>
    </row>
    <row r="23" spans="2:10" x14ac:dyDescent="0.4">
      <c r="F23" s="139" t="s">
        <v>229</v>
      </c>
      <c r="I23" s="133">
        <v>660000</v>
      </c>
      <c r="J23" s="132"/>
    </row>
    <row r="24" spans="2:10" ht="21" x14ac:dyDescent="0.7">
      <c r="B24" s="74" t="s">
        <v>10</v>
      </c>
      <c r="C24" s="74" t="s">
        <v>188</v>
      </c>
      <c r="D24" s="74" t="s">
        <v>223</v>
      </c>
      <c r="E24" s="74" t="s">
        <v>190</v>
      </c>
      <c r="F24" s="74" t="s">
        <v>210</v>
      </c>
      <c r="I24" s="136">
        <v>60000</v>
      </c>
    </row>
    <row r="25" spans="2:10" x14ac:dyDescent="0.4">
      <c r="B25" s="73" t="s">
        <v>89</v>
      </c>
      <c r="C25" s="77" t="s">
        <v>191</v>
      </c>
      <c r="D25" s="77">
        <v>660000</v>
      </c>
      <c r="E25" s="77" t="s">
        <v>192</v>
      </c>
      <c r="F25" s="77" t="s">
        <v>224</v>
      </c>
      <c r="G25" s="58">
        <v>660000</v>
      </c>
      <c r="I25" s="134">
        <v>720000</v>
      </c>
    </row>
    <row r="26" spans="2:10" x14ac:dyDescent="0.4">
      <c r="B26" s="77"/>
      <c r="C26" s="77"/>
      <c r="D26" s="77"/>
      <c r="E26" s="77"/>
      <c r="F26" s="77" t="s">
        <v>41</v>
      </c>
      <c r="G26" s="58">
        <v>660000</v>
      </c>
    </row>
    <row r="27" spans="2:10" x14ac:dyDescent="0.4">
      <c r="B27" s="77"/>
      <c r="C27" s="77"/>
      <c r="D27" s="77"/>
      <c r="E27" s="77"/>
      <c r="F27" s="77"/>
    </row>
    <row r="28" spans="2:10" x14ac:dyDescent="0.4">
      <c r="B28" s="77" t="s">
        <v>135</v>
      </c>
      <c r="C28" s="77" t="s">
        <v>193</v>
      </c>
      <c r="D28" s="137">
        <f>D30-D25</f>
        <v>60000</v>
      </c>
      <c r="E28" s="77"/>
      <c r="F28" s="77" t="s">
        <v>224</v>
      </c>
      <c r="G28" s="58">
        <v>60000</v>
      </c>
    </row>
    <row r="29" spans="2:10" x14ac:dyDescent="0.4">
      <c r="B29" s="77"/>
      <c r="C29" s="77"/>
      <c r="D29" s="77"/>
      <c r="E29" s="77"/>
      <c r="F29" s="137" t="s">
        <v>225</v>
      </c>
      <c r="G29" s="138">
        <v>60000</v>
      </c>
    </row>
    <row r="30" spans="2:10" x14ac:dyDescent="0.4">
      <c r="B30" s="142" t="s">
        <v>120</v>
      </c>
      <c r="C30" s="143" t="s">
        <v>189</v>
      </c>
      <c r="D30" s="143">
        <v>720000</v>
      </c>
      <c r="E30" s="77" t="s">
        <v>194</v>
      </c>
      <c r="F30" s="77"/>
    </row>
    <row r="31" spans="2:10" x14ac:dyDescent="0.4">
      <c r="B31" s="77"/>
      <c r="C31" s="77"/>
      <c r="D31" s="77"/>
      <c r="E31" s="77"/>
      <c r="F31" s="77"/>
    </row>
    <row r="32" spans="2:10" x14ac:dyDescent="0.4">
      <c r="B32" s="77" t="s">
        <v>135</v>
      </c>
      <c r="C32" s="77" t="s">
        <v>195</v>
      </c>
      <c r="D32" s="137">
        <f>D34-D30</f>
        <v>-150000</v>
      </c>
      <c r="E32" s="77"/>
      <c r="F32" s="137" t="s">
        <v>228</v>
      </c>
      <c r="G32" s="138">
        <v>150000</v>
      </c>
    </row>
    <row r="33" spans="2:7" x14ac:dyDescent="0.4">
      <c r="B33" s="77"/>
      <c r="C33" s="77"/>
      <c r="D33" s="77"/>
      <c r="E33" s="77"/>
      <c r="F33" s="77" t="s">
        <v>227</v>
      </c>
      <c r="G33" s="58">
        <v>150000</v>
      </c>
    </row>
    <row r="34" spans="2:7" x14ac:dyDescent="0.4">
      <c r="B34" s="142" t="s">
        <v>165</v>
      </c>
      <c r="C34" s="143" t="s">
        <v>189</v>
      </c>
      <c r="D34" s="143">
        <v>570000</v>
      </c>
      <c r="E34" s="77" t="s">
        <v>196</v>
      </c>
      <c r="F34" s="77"/>
    </row>
    <row r="35" spans="2:7" x14ac:dyDescent="0.4">
      <c r="B35" s="77"/>
      <c r="C35" s="77"/>
      <c r="D35" s="77"/>
      <c r="E35" s="77"/>
      <c r="F35" s="77"/>
    </row>
    <row r="36" spans="2:7" x14ac:dyDescent="0.4">
      <c r="B36" s="77" t="s">
        <v>135</v>
      </c>
      <c r="C36" s="77" t="s">
        <v>195</v>
      </c>
      <c r="D36" s="137">
        <f>D38-D34</f>
        <v>-60000</v>
      </c>
      <c r="E36" s="77"/>
      <c r="F36" s="137" t="s">
        <v>228</v>
      </c>
      <c r="G36" s="138">
        <v>60000</v>
      </c>
    </row>
    <row r="37" spans="2:7" x14ac:dyDescent="0.4">
      <c r="B37" s="77"/>
      <c r="C37" s="77"/>
      <c r="D37" s="77"/>
      <c r="E37" s="77"/>
      <c r="F37" s="77" t="s">
        <v>227</v>
      </c>
      <c r="G37" s="58">
        <v>60000</v>
      </c>
    </row>
    <row r="38" spans="2:7" x14ac:dyDescent="0.4">
      <c r="B38" s="142" t="s">
        <v>197</v>
      </c>
      <c r="C38" s="143" t="s">
        <v>189</v>
      </c>
      <c r="D38" s="143">
        <v>510000</v>
      </c>
      <c r="E38" s="77" t="s">
        <v>198</v>
      </c>
      <c r="F38" s="77"/>
    </row>
    <row r="39" spans="2:7" x14ac:dyDescent="0.4">
      <c r="B39" s="77"/>
      <c r="C39" s="77"/>
      <c r="D39" s="77"/>
      <c r="E39" s="77"/>
      <c r="F39" s="77"/>
    </row>
    <row r="40" spans="2:7" x14ac:dyDescent="0.4">
      <c r="B40" s="77" t="s">
        <v>135</v>
      </c>
      <c r="C40" s="77" t="s">
        <v>193</v>
      </c>
      <c r="D40" s="137">
        <f>D42-D38</f>
        <v>270000</v>
      </c>
      <c r="E40" s="77"/>
      <c r="F40" s="77" t="s">
        <v>224</v>
      </c>
      <c r="G40" s="58">
        <v>270000</v>
      </c>
    </row>
    <row r="41" spans="2:7" x14ac:dyDescent="0.4">
      <c r="B41" s="77"/>
      <c r="C41" s="77"/>
      <c r="D41" s="77"/>
      <c r="E41" s="77"/>
      <c r="F41" s="137" t="s">
        <v>225</v>
      </c>
      <c r="G41" s="138">
        <v>270000</v>
      </c>
    </row>
    <row r="42" spans="2:7" x14ac:dyDescent="0.4">
      <c r="B42" s="142" t="s">
        <v>90</v>
      </c>
      <c r="C42" s="143"/>
      <c r="D42" s="143">
        <v>780000</v>
      </c>
      <c r="E42" s="77" t="s">
        <v>199</v>
      </c>
      <c r="F42" s="77"/>
    </row>
    <row r="43" spans="2:7" x14ac:dyDescent="0.4">
      <c r="B43" s="77"/>
      <c r="C43" s="77"/>
      <c r="D43" s="77"/>
      <c r="E43" s="77"/>
      <c r="F43" s="77"/>
    </row>
    <row r="45" spans="2:7" ht="15.5" customHeight="1" x14ac:dyDescent="0.7">
      <c r="C45" s="110"/>
      <c r="D45" s="110"/>
      <c r="E45" s="110"/>
    </row>
    <row r="46" spans="2:7" ht="15.5" customHeight="1" x14ac:dyDescent="0.7">
      <c r="C46" s="112"/>
      <c r="D46" s="112" t="s">
        <v>200</v>
      </c>
      <c r="E46" s="112" t="s">
        <v>201</v>
      </c>
    </row>
    <row r="47" spans="2:7" ht="15.5" customHeight="1" x14ac:dyDescent="0.7">
      <c r="C47" s="112"/>
      <c r="D47" s="112" t="s">
        <v>202</v>
      </c>
      <c r="E47" s="112" t="s">
        <v>203</v>
      </c>
    </row>
    <row r="48" spans="2:7" ht="21" x14ac:dyDescent="0.7">
      <c r="C48" s="77"/>
      <c r="D48" s="113" t="s">
        <v>231</v>
      </c>
      <c r="E48" s="141" t="s">
        <v>230</v>
      </c>
      <c r="F48" s="89"/>
    </row>
    <row r="49" spans="2:6" x14ac:dyDescent="0.4">
      <c r="C49" s="77" t="s">
        <v>204</v>
      </c>
      <c r="D49" s="140">
        <v>60000</v>
      </c>
      <c r="E49" s="77">
        <v>720000</v>
      </c>
    </row>
    <row r="50" spans="2:6" x14ac:dyDescent="0.4">
      <c r="C50" s="77" t="s">
        <v>205</v>
      </c>
      <c r="D50" s="140">
        <v>-150000</v>
      </c>
      <c r="E50" s="77">
        <v>570000</v>
      </c>
    </row>
    <row r="51" spans="2:6" x14ac:dyDescent="0.4">
      <c r="C51" s="77" t="s">
        <v>206</v>
      </c>
      <c r="D51" s="140">
        <v>-60000</v>
      </c>
      <c r="E51" s="77">
        <v>510000</v>
      </c>
    </row>
    <row r="52" spans="2:6" x14ac:dyDescent="0.4">
      <c r="C52" s="77" t="s">
        <v>207</v>
      </c>
      <c r="D52" s="144" t="s">
        <v>233</v>
      </c>
      <c r="E52" s="77">
        <v>780000</v>
      </c>
    </row>
    <row r="53" spans="2:6" x14ac:dyDescent="0.4">
      <c r="C53" s="2"/>
      <c r="D53" s="18"/>
      <c r="E53" s="2"/>
    </row>
    <row r="54" spans="2:6" x14ac:dyDescent="0.4">
      <c r="B54" s="145" t="s">
        <v>234</v>
      </c>
      <c r="C54" s="145"/>
      <c r="D54" s="145"/>
      <c r="E54" s="145"/>
      <c r="F54" s="145"/>
    </row>
    <row r="55" spans="2:6" x14ac:dyDescent="0.4">
      <c r="B55" s="115" t="s">
        <v>235</v>
      </c>
      <c r="C55" s="115"/>
      <c r="D55" s="115"/>
      <c r="E55" s="115"/>
      <c r="F55" s="115"/>
    </row>
    <row r="56" spans="2:6" ht="21" x14ac:dyDescent="0.7">
      <c r="C56" s="110" t="s">
        <v>232</v>
      </c>
      <c r="D56" s="110"/>
    </row>
    <row r="58" spans="2:6" x14ac:dyDescent="0.4">
      <c r="C58" s="58" t="s">
        <v>30</v>
      </c>
      <c r="D58" s="58">
        <v>300000</v>
      </c>
      <c r="E58" s="58" t="s">
        <v>208</v>
      </c>
    </row>
    <row r="59" spans="2:6" x14ac:dyDescent="0.4">
      <c r="C59" s="137" t="s">
        <v>209</v>
      </c>
      <c r="D59" s="137">
        <v>300000</v>
      </c>
    </row>
  </sheetData>
  <mergeCells count="12">
    <mergeCell ref="B10:C10"/>
    <mergeCell ref="I22:J22"/>
    <mergeCell ref="B22:E22"/>
    <mergeCell ref="E48:F48"/>
    <mergeCell ref="C56:D56"/>
    <mergeCell ref="B54:F54"/>
    <mergeCell ref="B55:F55"/>
    <mergeCell ref="B16:E16"/>
    <mergeCell ref="C45:E45"/>
    <mergeCell ref="A7:D7"/>
    <mergeCell ref="B2:D2"/>
    <mergeCell ref="A8:E8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הון עצמי</vt:lpstr>
      <vt:lpstr>הון עצמי - חוברת</vt:lpstr>
      <vt:lpstr>תרגיל 1</vt:lpstr>
      <vt:lpstr>תרגיל 2  </vt:lpstr>
      <vt:lpstr>השקעות בני"ע סחירים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איתי ריינהולד</dc:creator>
  <cp:lastModifiedBy>איתי ריינהולד</cp:lastModifiedBy>
  <dcterms:created xsi:type="dcterms:W3CDTF">2026-03-11T07:31:48Z</dcterms:created>
  <dcterms:modified xsi:type="dcterms:W3CDTF">2026-03-25T13:56:09Z</dcterms:modified>
</cp:coreProperties>
</file>