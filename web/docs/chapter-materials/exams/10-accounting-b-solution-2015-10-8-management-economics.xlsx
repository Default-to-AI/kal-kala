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80" tabRatio="785" firstSheet="3" activeTab="8"/>
  </bookViews>
  <sheets>
    <sheet name="כותרת" sheetId="23" r:id="rId1"/>
    <sheet name="שאלה 1 - דוח ת&quot;מ" sheetId="18" r:id="rId2"/>
    <sheet name="שאלה 1 - ביאורים ת&quot;מ" sheetId="17" r:id="rId3"/>
    <sheet name="יחסים פיננסיים" sheetId="16" r:id="rId4"/>
    <sheet name="שאלה 2 - השקעות" sheetId="19" r:id="rId5"/>
    <sheet name="שאלה 3 - ייחוס מיסים" sheetId="20" r:id="rId6"/>
    <sheet name="שאלה 4 - הון עצמי" sheetId="21" r:id="rId7"/>
    <sheet name="שאלה 5 - אגח" sheetId="22" r:id="rId8"/>
    <sheet name="שאלה 5 - אגח פתרון נוסף" sheetId="24" r:id="rId9"/>
  </sheets>
  <definedNames>
    <definedName name="_xlnm.Print_Area" localSheetId="7">'שאלה 5 - אגח'!$A$1:$I$57</definedName>
    <definedName name="_xlnm.Print_Area" localSheetId="8">'שאלה 5 - אגח פתרון נוסף'!$A$1:$I$57</definedName>
  </definedNames>
  <calcPr calcId="152511"/>
</workbook>
</file>

<file path=xl/calcChain.xml><?xml version="1.0" encoding="utf-8"?>
<calcChain xmlns="http://schemas.openxmlformats.org/spreadsheetml/2006/main">
  <c r="I56" i="24" l="1"/>
  <c r="C37" i="24"/>
  <c r="E33" i="24"/>
  <c r="D25" i="24"/>
  <c r="C20" i="24"/>
  <c r="D13" i="24"/>
  <c r="D12" i="24"/>
  <c r="E12" i="24" s="1"/>
  <c r="C12" i="24"/>
  <c r="E31" i="24" s="1"/>
  <c r="D11" i="24"/>
  <c r="C11" i="24"/>
  <c r="E30" i="24" s="1"/>
  <c r="E34" i="24" l="1"/>
  <c r="C43" i="24"/>
  <c r="E11" i="24"/>
  <c r="C13" i="24"/>
  <c r="I56" i="22"/>
  <c r="J21" i="23" s="1"/>
  <c r="C37" i="22"/>
  <c r="E33" i="22"/>
  <c r="D25" i="22"/>
  <c r="C20" i="22"/>
  <c r="D13" i="22"/>
  <c r="D12" i="22"/>
  <c r="E12" i="22" s="1"/>
  <c r="C12" i="22"/>
  <c r="E31" i="22" s="1"/>
  <c r="D11" i="22"/>
  <c r="C11" i="22"/>
  <c r="E30" i="22" s="1"/>
  <c r="G48" i="21"/>
  <c r="J20" i="23" s="1"/>
  <c r="D40" i="21"/>
  <c r="F38" i="21"/>
  <c r="F37" i="21"/>
  <c r="B35" i="21"/>
  <c r="C35" i="21" s="1"/>
  <c r="E34" i="21"/>
  <c r="F32" i="21"/>
  <c r="B27" i="21"/>
  <c r="C39" i="21" s="1"/>
  <c r="B26" i="21"/>
  <c r="E39" i="21" s="1"/>
  <c r="B23" i="21"/>
  <c r="B24" i="21" s="1"/>
  <c r="B20" i="21"/>
  <c r="B36" i="21" s="1"/>
  <c r="B33" i="21" s="1"/>
  <c r="B19" i="21"/>
  <c r="E36" i="21" s="1"/>
  <c r="B18" i="21"/>
  <c r="B21" i="21" s="1"/>
  <c r="C36" i="21" s="1"/>
  <c r="F36" i="21" s="1"/>
  <c r="B14" i="21"/>
  <c r="F22" i="20"/>
  <c r="J19" i="23" s="1"/>
  <c r="B13" i="20"/>
  <c r="B8" i="20"/>
  <c r="B58" i="19"/>
  <c r="D51" i="19"/>
  <c r="D50" i="19"/>
  <c r="E50" i="19" s="1"/>
  <c r="D45" i="19"/>
  <c r="C52" i="24" l="1"/>
  <c r="E32" i="24"/>
  <c r="E13" i="24"/>
  <c r="E14" i="24" s="1"/>
  <c r="E40" i="21"/>
  <c r="B11" i="20"/>
  <c r="E11" i="22"/>
  <c r="C13" i="22"/>
  <c r="E32" i="22" s="1"/>
  <c r="C43" i="22"/>
  <c r="E34" i="22"/>
  <c r="F33" i="21"/>
  <c r="C33" i="21"/>
  <c r="C40" i="21" s="1"/>
  <c r="B6" i="21"/>
  <c r="F34" i="21"/>
  <c r="C23" i="24" l="1"/>
  <c r="C18" i="24"/>
  <c r="C19" i="24" s="1"/>
  <c r="F40" i="21"/>
  <c r="E13" i="22"/>
  <c r="E14" i="22" s="1"/>
  <c r="C23" i="22" s="1"/>
  <c r="D24" i="24" l="1"/>
  <c r="G29" i="24" s="1"/>
  <c r="H29" i="24"/>
  <c r="C30" i="24" s="1"/>
  <c r="C18" i="22"/>
  <c r="C19" i="22" s="1"/>
  <c r="D24" i="22"/>
  <c r="G29" i="22" s="1"/>
  <c r="H29" i="22"/>
  <c r="C30" i="22" s="1"/>
  <c r="D30" i="24" l="1"/>
  <c r="F30" i="24" s="1"/>
  <c r="H30" i="24" s="1"/>
  <c r="C31" i="24" s="1"/>
  <c r="D30" i="22"/>
  <c r="F30" i="22" s="1"/>
  <c r="H30" i="22" s="1"/>
  <c r="C31" i="22" s="1"/>
  <c r="D31" i="24" l="1"/>
  <c r="F31" i="24" s="1"/>
  <c r="C44" i="24" s="1"/>
  <c r="C45" i="24" s="1"/>
  <c r="G30" i="24"/>
  <c r="G31" i="24" s="1"/>
  <c r="G30" i="22"/>
  <c r="G31" i="22" s="1"/>
  <c r="D31" i="22"/>
  <c r="F31" i="22" s="1"/>
  <c r="C44" i="22" s="1"/>
  <c r="C45" i="22" s="1"/>
  <c r="H31" i="22"/>
  <c r="C38" i="24" l="1"/>
  <c r="C39" i="24" s="1"/>
  <c r="H31" i="24"/>
  <c r="C38" i="22"/>
  <c r="C39" i="22" s="1"/>
  <c r="C34" i="22"/>
  <c r="C32" i="22"/>
  <c r="C34" i="24" l="1"/>
  <c r="C32" i="24"/>
  <c r="D32" i="22"/>
  <c r="F32" i="22" s="1"/>
  <c r="G32" i="22" s="1"/>
  <c r="D34" i="22"/>
  <c r="F34" i="22" s="1"/>
  <c r="C51" i="22" s="1"/>
  <c r="D32" i="24" l="1"/>
  <c r="F32" i="24" s="1"/>
  <c r="G32" i="24" s="1"/>
  <c r="D34" i="24"/>
  <c r="F34" i="24" s="1"/>
  <c r="C51" i="24" s="1"/>
  <c r="H34" i="22"/>
  <c r="H32" i="22"/>
  <c r="C33" i="22" s="1"/>
  <c r="H34" i="24" l="1"/>
  <c r="H32" i="24"/>
  <c r="C33" i="24" s="1"/>
  <c r="D33" i="22"/>
  <c r="F33" i="22" s="1"/>
  <c r="G33" i="22" s="1"/>
  <c r="G34" i="22" s="1"/>
  <c r="D33" i="24" l="1"/>
  <c r="F33" i="24" s="1"/>
  <c r="G33" i="24" s="1"/>
  <c r="G34" i="24" s="1"/>
  <c r="H33" i="22"/>
  <c r="H33" i="24" l="1"/>
  <c r="E21" i="19"/>
  <c r="D21" i="19"/>
  <c r="E17" i="19"/>
  <c r="D17" i="19"/>
  <c r="M21" i="16"/>
  <c r="C35" i="18"/>
  <c r="C13" i="18"/>
  <c r="C12" i="18"/>
  <c r="D28" i="17"/>
  <c r="C34" i="18" s="1"/>
  <c r="D27" i="17"/>
  <c r="C19" i="18" s="1"/>
  <c r="C29" i="17"/>
  <c r="B29" i="17"/>
  <c r="D42" i="17"/>
  <c r="B23" i="17"/>
  <c r="D29" i="17" l="1"/>
  <c r="M74" i="19"/>
  <c r="J18" i="23" s="1"/>
  <c r="C61" i="19"/>
  <c r="B59" i="19"/>
  <c r="E51" i="19"/>
  <c r="C5" i="18"/>
  <c r="C31" i="18"/>
  <c r="C32" i="18"/>
  <c r="D14" i="17"/>
  <c r="C33" i="18" s="1"/>
  <c r="C11" i="18"/>
  <c r="C10" i="18"/>
  <c r="E51" i="18"/>
  <c r="J17" i="23" s="1"/>
  <c r="J23" i="23" s="1"/>
  <c r="G46" i="17"/>
  <c r="B42" i="17"/>
  <c r="C20" i="18" s="1"/>
  <c r="C21" i="18" s="1"/>
  <c r="D53" i="19" l="1"/>
  <c r="D46" i="19" s="1"/>
  <c r="D44" i="19" s="1"/>
  <c r="B57" i="19" s="1"/>
  <c r="C15" i="18"/>
  <c r="B60" i="19"/>
  <c r="C36" i="18"/>
  <c r="C43" i="18"/>
  <c r="B61" i="19" l="1"/>
  <c r="F61" i="19"/>
  <c r="C45" i="18"/>
  <c r="C6" i="18" s="1"/>
  <c r="C7" i="18" s="1"/>
  <c r="F20" i="18" l="1"/>
  <c r="C24" i="18"/>
  <c r="C26" i="18" s="1"/>
</calcChain>
</file>

<file path=xl/sharedStrings.xml><?xml version="1.0" encoding="utf-8"?>
<sst xmlns="http://schemas.openxmlformats.org/spreadsheetml/2006/main" count="326" uniqueCount="219">
  <si>
    <t>ניקוד</t>
  </si>
  <si>
    <t>סה"כ</t>
  </si>
  <si>
    <t>P.N</t>
  </si>
  <si>
    <t>רווח השנה</t>
  </si>
  <si>
    <t>עודפים</t>
  </si>
  <si>
    <t xml:space="preserve">ניקוד </t>
  </si>
  <si>
    <t>פרטים</t>
  </si>
  <si>
    <t>הון מניות רגילות</t>
  </si>
  <si>
    <t>פרמיה</t>
  </si>
  <si>
    <t>תקבולים ע"ח אופציות</t>
  </si>
  <si>
    <t xml:space="preserve">הנפקת מניות הטבה </t>
  </si>
  <si>
    <t>הנפקת מניות</t>
  </si>
  <si>
    <t>שאלה 4 - הון עצמי</t>
  </si>
  <si>
    <t xml:space="preserve"> נדרש ג  </t>
  </si>
  <si>
    <t>מימוש אופציות</t>
  </si>
  <si>
    <t xml:space="preserve">ח. עו"ש </t>
  </si>
  <si>
    <t>ז. הון מניות רגילות</t>
  </si>
  <si>
    <t>ז. פרמיה</t>
  </si>
  <si>
    <t>ח. פרמיה</t>
  </si>
  <si>
    <t>ח. תקבולים ע"ח אופציות</t>
  </si>
  <si>
    <t>ז. הון מניות</t>
  </si>
  <si>
    <t>ז. פרמיה (P.N)</t>
  </si>
  <si>
    <t>ח.עודפים</t>
  </si>
  <si>
    <t xml:space="preserve">סה"כ </t>
  </si>
  <si>
    <t xml:space="preserve">נדרש ד </t>
  </si>
  <si>
    <t>הוצאות ריבית</t>
  </si>
  <si>
    <t>שאלה 3 - ייחוס מיסים</t>
  </si>
  <si>
    <t xml:space="preserve">ביאורים </t>
  </si>
  <si>
    <t xml:space="preserve">השקעה בני"ע סחירים </t>
  </si>
  <si>
    <t>י.פ</t>
  </si>
  <si>
    <t>י.ס</t>
  </si>
  <si>
    <t>הוצאות פחת P.N</t>
  </si>
  <si>
    <t>הון מניות</t>
  </si>
  <si>
    <t>פרמיה על מניות</t>
  </si>
  <si>
    <t xml:space="preserve">נדרש 1 </t>
  </si>
  <si>
    <t>דיבידנד לשלם</t>
  </si>
  <si>
    <t>שולם בגין שנה קודמת</t>
  </si>
  <si>
    <t>סה"כ :</t>
  </si>
  <si>
    <t>ת"מ מפעילות שוטפת</t>
  </si>
  <si>
    <t>התאמות לרווח ( נספח א' )</t>
  </si>
  <si>
    <t>מזומנים שנבעו מפעילות שוטפת</t>
  </si>
  <si>
    <t>ת"מ מפעילות השקעה</t>
  </si>
  <si>
    <t>מזומנים ששימשו לפעילות השקעה</t>
  </si>
  <si>
    <t>ת"מ מפעילות מימון</t>
  </si>
  <si>
    <t>דיבידנד ששולם במזומן השנה</t>
  </si>
  <si>
    <t>מזומנים שנבעו מפעילות מימון</t>
  </si>
  <si>
    <t>י.פ מזומנים ושווי מזומנים</t>
  </si>
  <si>
    <t>הכנסות והוצאות שלא כרוכות בת"מ</t>
  </si>
  <si>
    <t>הוצאות פחת רכוש קבוע</t>
  </si>
  <si>
    <t>שינויים בסעיפי רכוש והתחייבות שוטפים</t>
  </si>
  <si>
    <t xml:space="preserve">קיטון בלקוחות נטו </t>
  </si>
  <si>
    <t>קיטון בספקים</t>
  </si>
  <si>
    <t>סה"כ התאמות לרווח</t>
  </si>
  <si>
    <t>נספח ב' - פעולות שלא במזומן</t>
  </si>
  <si>
    <t>דו"ח תזרים מזומנים לשנה שנסתיימה ב- 31.12.15 חברת "עינב " בע"מ</t>
  </si>
  <si>
    <t>תמורה ממכירה</t>
  </si>
  <si>
    <t>רווח הון ממכירה</t>
  </si>
  <si>
    <t>מחושב</t>
  </si>
  <si>
    <t>נתון</t>
  </si>
  <si>
    <t>תמורה ממכירת ני"ע סחירים</t>
  </si>
  <si>
    <t>השקעה בניירות ערך סחירים</t>
  </si>
  <si>
    <t>רכוש קבוע - עלות</t>
  </si>
  <si>
    <t>רכוש קבוע- פחת שנצבר</t>
  </si>
  <si>
    <t>תמורה</t>
  </si>
  <si>
    <t>רווח הון ממכירת ני"ע סחירים</t>
  </si>
  <si>
    <t>חלוקת הטבה</t>
  </si>
  <si>
    <t>הנפקת הטבה</t>
  </si>
  <si>
    <t>שאלה 2 - השקעות</t>
  </si>
  <si>
    <t>חלק א</t>
  </si>
  <si>
    <t>א</t>
  </si>
  <si>
    <t>תאריך</t>
  </si>
  <si>
    <t>31.12.15</t>
  </si>
  <si>
    <t>הפסד מירידת ערך</t>
  </si>
  <si>
    <t>הכנסות מדיבידנד</t>
  </si>
  <si>
    <t>ב</t>
  </si>
  <si>
    <t>חלק ב</t>
  </si>
  <si>
    <t>חלק ג</t>
  </si>
  <si>
    <t>אלפי ₪</t>
  </si>
  <si>
    <t>חלקי בשווי המאזני</t>
  </si>
  <si>
    <t>עודף עלות</t>
  </si>
  <si>
    <t>ייחוס עודף העלות :</t>
  </si>
  <si>
    <t>נושא</t>
  </si>
  <si>
    <t>חלקי</t>
  </si>
  <si>
    <t>הפחתה לשנה</t>
  </si>
  <si>
    <t>כל הפתרון באלפי ₪</t>
  </si>
  <si>
    <t>חצי נמכר ולכן הפחתה של חצי</t>
  </si>
  <si>
    <t>אין</t>
  </si>
  <si>
    <t>י.פ. השקעה</t>
  </si>
  <si>
    <t>השקעה</t>
  </si>
  <si>
    <t>תנועה בחשבון השקעה</t>
  </si>
  <si>
    <t>דיבידנד</t>
  </si>
  <si>
    <t>הפחתת ע.ע.</t>
  </si>
  <si>
    <t>י.ס. השקעה</t>
  </si>
  <si>
    <t>בקרה:</t>
  </si>
  <si>
    <t xml:space="preserve">רכישה </t>
  </si>
  <si>
    <t>השקעה בכלולה</t>
  </si>
  <si>
    <t>רווחי אקוויטי</t>
  </si>
  <si>
    <t>הטבה</t>
  </si>
  <si>
    <t>רווח השנה P.N</t>
  </si>
  <si>
    <t>י.פ.</t>
  </si>
  <si>
    <t>אגח ברוטו</t>
  </si>
  <si>
    <t>אגח נטו</t>
  </si>
  <si>
    <t>יש לתת את מלוא הניקוד גם למי שיציג את טור אגח נטו בלבד (ובלבד שהניתוח נכון כמובן)</t>
  </si>
  <si>
    <t>י.ס.</t>
  </si>
  <si>
    <t>הנפקת אג"ח</t>
  </si>
  <si>
    <t>הפחתת פרמיה (5 שנים)</t>
  </si>
  <si>
    <t>רכישת רכוש קבוע</t>
  </si>
  <si>
    <t>השקעה בחברה כלולה</t>
  </si>
  <si>
    <t>ירידת ערך ני"ע סחירים</t>
  </si>
  <si>
    <t>פחת פרמיה</t>
  </si>
  <si>
    <t xml:space="preserve">ירידה במלאי </t>
  </si>
  <si>
    <t>עליה בזכאים</t>
  </si>
  <si>
    <t xml:space="preserve">הפסד מירידת ערך </t>
  </si>
  <si>
    <t xml:space="preserve">הטענה אינה נכונה. בדרך כלל ברוב המקרים הטענה אכן נכונה אולם ייתכנו מצבים שונים . </t>
  </si>
  <si>
    <t xml:space="preserve">נדרש 1: </t>
  </si>
  <si>
    <t>נדרש 2</t>
  </si>
  <si>
    <t>שמצבה הפיננסי רעוע.</t>
  </si>
  <si>
    <t>א. משיכת כספים מחשבון הבנק והגעה למשיכת יתר - תעלה התחייבויות ותקטין יחס שוטף.</t>
  </si>
  <si>
    <t>ב. גיוס כספים באמצעות הנפקת אג"ח - תגדיל מזומנים והיחס השוטף יעלה.</t>
  </si>
  <si>
    <t>ג. שערוך חיובי של השקעות שוטפות במניות סחירות המוחזקות לזמן קצר - תגדיל את סעיף השקעות שוטפות והיחס השוטף יעלה</t>
  </si>
  <si>
    <t>ד. רישום רווחי אקוויטי - לא ישפיע על היחס השוטף - השקעות בחברה כלולה מוצגות במסגרת נכסים בלתי שוטפים.</t>
  </si>
  <si>
    <t>חובה</t>
  </si>
  <si>
    <t>זכות</t>
  </si>
  <si>
    <t>30.9.15</t>
  </si>
  <si>
    <t>רווח מעליית ערך</t>
  </si>
  <si>
    <t>רבעון 3</t>
  </si>
  <si>
    <t>רבעון 4</t>
  </si>
  <si>
    <t xml:space="preserve">סה"כ הכנסות מימון </t>
  </si>
  <si>
    <t>הכנסות מימון</t>
  </si>
  <si>
    <t>הוצאות מימון</t>
  </si>
  <si>
    <t>סה"כ הוצאות מימון</t>
  </si>
  <si>
    <t>ג</t>
  </si>
  <si>
    <t>יתרת ההשקעה</t>
  </si>
  <si>
    <t xml:space="preserve">תשובה – הטענה אינה נכונה. רמת הסבירות כי החברה תוכל להפוך את הרווח ("על הנייר") הנובע מהשערוך לרווח במזומן </t>
  </si>
  <si>
    <t>היא גבוהה מאחר ומדובר בני"ע סחירים שכוונת ההנהלה למכרם במזומן תוך זמן קצר.</t>
  </si>
  <si>
    <t>מלאי</t>
  </si>
  <si>
    <t>מוניטין נתון</t>
  </si>
  <si>
    <t>ציוד</t>
  </si>
  <si>
    <t>14,000/4=</t>
  </si>
  <si>
    <t>ע"פ חישוב להלן</t>
  </si>
  <si>
    <t>200,000*35%=</t>
  </si>
  <si>
    <t>חישוב התמורה על ידי חישוב ההפרש המקורי / עודף עלות:</t>
  </si>
  <si>
    <t>הון עצמי ב</t>
  </si>
  <si>
    <t>הפסד</t>
  </si>
  <si>
    <t xml:space="preserve">ייחוס נכון מאפשר לכלול בדוחות רווח הפסד שיוצגו בתקופה שלאחר ההשקעה את ההוצאות הנכונות בגין הפחתת הנכסים בגינם </t>
  </si>
  <si>
    <t xml:space="preserve">שילמה החברה את עודף העלות  במקביל לרישום הרווח המופק מאותם נכסים (רווחי אקוויטי) . ייחוס שגוי יגרום לרישום הוצאות בסכום </t>
  </si>
  <si>
    <t xml:space="preserve">שאינו תואם את קצב הפקת הרווחים מאותם נכסים. </t>
  </si>
  <si>
    <t xml:space="preserve">דוח התאמה למס הכנסה </t>
  </si>
  <si>
    <t xml:space="preserve">רווח לפני מס </t>
  </si>
  <si>
    <t>הפרשים תמידיים:</t>
  </si>
  <si>
    <t>הוצאות אחזקת רכב</t>
  </si>
  <si>
    <t>הוצאות אירוח בארץ</t>
  </si>
  <si>
    <t>10,000*80%=</t>
  </si>
  <si>
    <t xml:space="preserve">הכנסות פטורות </t>
  </si>
  <si>
    <t>הפרשי עיתוי :</t>
  </si>
  <si>
    <t>בגין הוצאות פחת ציוד</t>
  </si>
  <si>
    <t>רווח לצורכי מס</t>
  </si>
  <si>
    <t>הוצאות פחת לשנת 2015</t>
  </si>
  <si>
    <t xml:space="preserve">בספרים </t>
  </si>
  <si>
    <t>מ"ה</t>
  </si>
  <si>
    <t>יש להוסיף 20,000 לצורכי מס</t>
  </si>
  <si>
    <t>לכן הוצאות פחת לצורכי מ"ה הן 50,000</t>
  </si>
  <si>
    <t>נדרש א +ב'</t>
  </si>
  <si>
    <t>500,000 *x=100,000</t>
  </si>
  <si>
    <t>x=20%</t>
  </si>
  <si>
    <t>שיעור ההטבה</t>
  </si>
  <si>
    <t>ז. תקבולים ע"ח אופציות</t>
  </si>
  <si>
    <t>12,000*70%=8,400</t>
  </si>
  <si>
    <t>8,400*6 =</t>
  </si>
  <si>
    <t>8,400*4 =</t>
  </si>
  <si>
    <t>8,400*1*2 =</t>
  </si>
  <si>
    <t>ז. דיבידנד לשלם</t>
  </si>
  <si>
    <t>1.1.2016</t>
  </si>
  <si>
    <t>הנפקת אופציות</t>
  </si>
  <si>
    <t>הפסד השנה</t>
  </si>
  <si>
    <t>הכרזת דיבידנד (P.N)</t>
  </si>
  <si>
    <t>פקיעת אופציות</t>
  </si>
  <si>
    <t>31.12.2016</t>
  </si>
  <si>
    <t>שאלה 5 -אג"ח</t>
  </si>
  <si>
    <t>נדרש 1:</t>
  </si>
  <si>
    <t>קרן</t>
  </si>
  <si>
    <t>ריבית נקובה</t>
  </si>
  <si>
    <t>ריבית שוק</t>
  </si>
  <si>
    <t>תזרים</t>
  </si>
  <si>
    <t>מקדם היוון</t>
  </si>
  <si>
    <t>תזרים מהוון</t>
  </si>
  <si>
    <t>31.12.2017</t>
  </si>
  <si>
    <t>31.12.2018</t>
  </si>
  <si>
    <t>סכום הגיוס</t>
  </si>
  <si>
    <t xml:space="preserve">פקודת יומן ליום ההנפקה </t>
  </si>
  <si>
    <t>ח. ניכיון</t>
  </si>
  <si>
    <t>ז.אג"ח</t>
  </si>
  <si>
    <t>קופה</t>
  </si>
  <si>
    <t>לא נדרש</t>
  </si>
  <si>
    <t>אג"ח</t>
  </si>
  <si>
    <t>נדרש 2:</t>
  </si>
  <si>
    <t>פחת ניכיון</t>
  </si>
  <si>
    <t>יתרת ניכיון</t>
  </si>
  <si>
    <t>ביאור אג"ח ,נטו</t>
  </si>
  <si>
    <t>ערך נקוב</t>
  </si>
  <si>
    <t>נדרש 3:</t>
  </si>
  <si>
    <t>סה"כ הוצאות מימון לשנת 2017</t>
  </si>
  <si>
    <t>נדרש 4</t>
  </si>
  <si>
    <t>במסגרת תזרים מפעילות שוטפת</t>
  </si>
  <si>
    <t>הוצאות פחת ניכיון</t>
  </si>
  <si>
    <t xml:space="preserve">נספח א' בפלוס </t>
  </si>
  <si>
    <t>חלק מרווח השנה במינוס</t>
  </si>
  <si>
    <t>מבחן חשבונאות ב</t>
  </si>
  <si>
    <t>מועד ב 10.8.2015</t>
  </si>
  <si>
    <t>סמסטר ב תשעה</t>
  </si>
  <si>
    <t xml:space="preserve">פקיעת אופציות תזקף בנספח ב' פעולות שלא במזומן מכיוון שמדובר בפעולה מאזנית </t>
  </si>
  <si>
    <t>שאינה משפיעה על ת"מ של החברה.</t>
  </si>
  <si>
    <t>לכן תקופת ההפחתה לצורך מס היא 3 שנים</t>
  </si>
  <si>
    <t xml:space="preserve">חבות מיסים </t>
  </si>
  <si>
    <t>אג"ח ,נטו ל- 31.12.2017</t>
  </si>
  <si>
    <t>י.ס. מזומנים ושווי מזומנים</t>
  </si>
  <si>
    <t>רווחי כלנית : 30000/30%=100,000</t>
  </si>
  <si>
    <t>שינוי במזומנים</t>
  </si>
  <si>
    <t xml:space="preserve">לדוגמא  - חברה הנקלעת לקשיים ומוכרת את כל המלאי במחסניה במכירת חיסול תציג תזרים חיובי מפעילותה השוטפת למרות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</si>
</sst>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#,##0_ ;\-#,##0\ "/>
    <numFmt numFmtId="167" formatCode="#,##0.0"/>
    <numFmt numFmtId="168" formatCode="0.0%"/>
  </numFmts>
  <fonts count="57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indexed="9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52"/>
      <name val="Arial"/>
      <family val="2"/>
      <charset val="177"/>
    </font>
    <font>
      <b/>
      <sz val="11"/>
      <color indexed="9"/>
      <name val="Arial"/>
      <family val="2"/>
      <charset val="177"/>
    </font>
    <font>
      <i/>
      <sz val="11"/>
      <color indexed="23"/>
      <name val="Arial"/>
      <family val="2"/>
      <charset val="177"/>
    </font>
    <font>
      <sz val="11"/>
      <color indexed="17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63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b/>
      <sz val="12"/>
      <color theme="1"/>
      <name val="David"/>
      <family val="2"/>
      <charset val="177"/>
    </font>
    <font>
      <u/>
      <sz val="14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sz val="14"/>
      <color theme="1"/>
      <name val="David"/>
      <family val="2"/>
      <charset val="177"/>
    </font>
    <font>
      <b/>
      <sz val="14"/>
      <color theme="1"/>
      <name val="David"/>
      <family val="2"/>
      <charset val="177"/>
    </font>
    <font>
      <u/>
      <sz val="11"/>
      <color theme="1"/>
      <name val="Arial"/>
      <family val="2"/>
      <charset val="177"/>
      <scheme val="minor"/>
    </font>
    <font>
      <u val="singleAccounting"/>
      <sz val="14"/>
      <color theme="1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8"/>
      <color theme="1"/>
      <name val="David"/>
      <family val="2"/>
      <charset val="177"/>
    </font>
    <font>
      <b/>
      <u val="singleAccounting"/>
      <sz val="12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u/>
      <sz val="12"/>
      <color theme="1"/>
      <name val="David"/>
      <family val="2"/>
    </font>
    <font>
      <u/>
      <sz val="12"/>
      <color theme="1"/>
      <name val="David"/>
      <family val="2"/>
    </font>
    <font>
      <sz val="12"/>
      <name val="David"/>
      <family val="2"/>
    </font>
    <font>
      <u val="singleAccounting"/>
      <sz val="12"/>
      <color theme="1"/>
      <name val="David"/>
      <family val="2"/>
    </font>
    <font>
      <b/>
      <u/>
      <sz val="14"/>
      <color theme="1"/>
      <name val="Arial"/>
      <family val="2"/>
      <scheme val="minor"/>
    </font>
    <font>
      <sz val="11"/>
      <color theme="1"/>
      <name val="David"/>
      <family val="2"/>
    </font>
    <font>
      <sz val="11"/>
      <color indexed="8"/>
      <name val="David"/>
      <family val="2"/>
    </font>
    <font>
      <sz val="12"/>
      <color indexed="8"/>
      <name val="David"/>
      <family val="2"/>
    </font>
    <font>
      <b/>
      <sz val="12"/>
      <name val="David"/>
      <family val="2"/>
    </font>
    <font>
      <b/>
      <i/>
      <u/>
      <sz val="12"/>
      <color theme="1"/>
      <name val="David"/>
      <family val="2"/>
    </font>
    <font>
      <i/>
      <sz val="12"/>
      <color theme="1"/>
      <name val="David"/>
      <family val="2"/>
    </font>
    <font>
      <i/>
      <sz val="12"/>
      <name val="David"/>
      <family val="2"/>
    </font>
    <font>
      <b/>
      <u/>
      <sz val="12"/>
      <name val="David"/>
      <family val="2"/>
    </font>
    <font>
      <b/>
      <u/>
      <sz val="12"/>
      <color indexed="8"/>
      <name val="David"/>
      <family val="2"/>
    </font>
    <font>
      <b/>
      <sz val="12"/>
      <color indexed="8"/>
      <name val="David"/>
      <family val="2"/>
    </font>
    <font>
      <u val="singleAccounting"/>
      <sz val="12"/>
      <color indexed="8"/>
      <name val="David"/>
      <family val="2"/>
    </font>
    <font>
      <u/>
      <sz val="12"/>
      <color indexed="8"/>
      <name val="David"/>
      <family val="2"/>
    </font>
    <font>
      <b/>
      <sz val="20"/>
      <color theme="1"/>
      <name val="Arial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3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77">
    <xf numFmtId="0" fontId="0" fillId="0" borderId="0" xfId="0"/>
    <xf numFmtId="0" fontId="23" fillId="0" borderId="0" xfId="0" applyFont="1"/>
    <xf numFmtId="0" fontId="24" fillId="0" borderId="0" xfId="0" applyFont="1"/>
    <xf numFmtId="164" fontId="23" fillId="0" borderId="0" xfId="28" applyNumberFormat="1" applyFont="1"/>
    <xf numFmtId="0" fontId="25" fillId="25" borderId="0" xfId="0" applyFont="1" applyFill="1" applyAlignment="1">
      <alignment horizontal="center"/>
    </xf>
    <xf numFmtId="0" fontId="0" fillId="25" borderId="0" xfId="0" applyFill="1"/>
    <xf numFmtId="0" fontId="1" fillId="0" borderId="0" xfId="49"/>
    <xf numFmtId="0" fontId="33" fillId="0" borderId="0" xfId="0" applyFont="1"/>
    <xf numFmtId="0" fontId="32" fillId="25" borderId="0" xfId="0" applyFont="1" applyFill="1" applyAlignment="1">
      <alignment horizontal="center"/>
    </xf>
    <xf numFmtId="0" fontId="32" fillId="25" borderId="11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25" borderId="0" xfId="0" applyFont="1" applyFill="1" applyAlignment="1">
      <alignment horizontal="center"/>
    </xf>
    <xf numFmtId="0" fontId="25" fillId="0" borderId="0" xfId="0" applyFont="1"/>
    <xf numFmtId="164" fontId="25" fillId="0" borderId="0" xfId="28" applyNumberFormat="1" applyFont="1"/>
    <xf numFmtId="0" fontId="23" fillId="25" borderId="0" xfId="0" applyFont="1" applyFill="1"/>
    <xf numFmtId="0" fontId="25" fillId="25" borderId="0" xfId="0" applyFont="1" applyFill="1"/>
    <xf numFmtId="164" fontId="25" fillId="25" borderId="0" xfId="28" applyNumberFormat="1" applyFont="1" applyFill="1"/>
    <xf numFmtId="0" fontId="23" fillId="0" borderId="0" xfId="0" applyFont="1" applyBorder="1"/>
    <xf numFmtId="164" fontId="35" fillId="0" borderId="0" xfId="28" applyNumberFormat="1" applyFont="1" applyBorder="1"/>
    <xf numFmtId="0" fontId="25" fillId="0" borderId="0" xfId="0" applyFont="1" applyBorder="1"/>
    <xf numFmtId="164" fontId="25" fillId="0" borderId="0" xfId="28" applyNumberFormat="1" applyFont="1" applyBorder="1"/>
    <xf numFmtId="164" fontId="23" fillId="0" borderId="0" xfId="28" applyNumberFormat="1" applyFont="1" applyBorder="1"/>
    <xf numFmtId="164" fontId="36" fillId="0" borderId="0" xfId="28" applyNumberFormat="1" applyFont="1" applyBorder="1"/>
    <xf numFmtId="164" fontId="36" fillId="0" borderId="0" xfId="28" applyNumberFormat="1" applyFont="1" applyFill="1" applyBorder="1"/>
    <xf numFmtId="164" fontId="25" fillId="0" borderId="0" xfId="28" applyNumberFormat="1" applyFont="1" applyFill="1" applyBorder="1"/>
    <xf numFmtId="0" fontId="0" fillId="0" borderId="0" xfId="0" applyBorder="1"/>
    <xf numFmtId="0" fontId="25" fillId="25" borderId="0" xfId="0" applyFont="1" applyFill="1" applyBorder="1"/>
    <xf numFmtId="164" fontId="25" fillId="25" borderId="0" xfId="28" applyNumberFormat="1" applyFont="1" applyFill="1" applyBorder="1"/>
    <xf numFmtId="0" fontId="0" fillId="0" borderId="12" xfId="0" applyBorder="1"/>
    <xf numFmtId="0" fontId="24" fillId="0" borderId="13" xfId="0" applyFont="1" applyBorder="1"/>
    <xf numFmtId="0" fontId="0" fillId="0" borderId="13" xfId="0" applyBorder="1"/>
    <xf numFmtId="0" fontId="24" fillId="0" borderId="14" xfId="0" applyFont="1" applyBorder="1"/>
    <xf numFmtId="0" fontId="25" fillId="0" borderId="15" xfId="0" applyFont="1" applyBorder="1"/>
    <xf numFmtId="164" fontId="25" fillId="0" borderId="16" xfId="28" applyNumberFormat="1" applyFont="1" applyBorder="1"/>
    <xf numFmtId="0" fontId="23" fillId="0" borderId="15" xfId="0" applyFont="1" applyBorder="1"/>
    <xf numFmtId="164" fontId="23" fillId="0" borderId="17" xfId="28" applyNumberFormat="1" applyFont="1" applyBorder="1"/>
    <xf numFmtId="0" fontId="0" fillId="0" borderId="16" xfId="0" applyBorder="1"/>
    <xf numFmtId="0" fontId="0" fillId="0" borderId="18" xfId="0" applyBorder="1"/>
    <xf numFmtId="0" fontId="0" fillId="0" borderId="11" xfId="0" applyBorder="1"/>
    <xf numFmtId="0" fontId="25" fillId="0" borderId="11" xfId="0" applyFont="1" applyBorder="1"/>
    <xf numFmtId="164" fontId="25" fillId="0" borderId="17" xfId="28" applyNumberFormat="1" applyFont="1" applyBorder="1"/>
    <xf numFmtId="164" fontId="23" fillId="0" borderId="16" xfId="28" applyNumberFormat="1" applyFont="1" applyBorder="1"/>
    <xf numFmtId="164" fontId="36" fillId="0" borderId="16" xfId="28" applyNumberFormat="1" applyFont="1" applyBorder="1"/>
    <xf numFmtId="0" fontId="0" fillId="0" borderId="15" xfId="0" applyBorder="1"/>
    <xf numFmtId="0" fontId="23" fillId="0" borderId="18" xfId="0" applyFont="1" applyBorder="1"/>
    <xf numFmtId="164" fontId="23" fillId="0" borderId="11" xfId="28" applyNumberFormat="1" applyFont="1" applyBorder="1" applyAlignment="1">
      <alignment horizontal="right"/>
    </xf>
    <xf numFmtId="0" fontId="0" fillId="0" borderId="17" xfId="0" applyBorder="1"/>
    <xf numFmtId="0" fontId="27" fillId="0" borderId="0" xfId="0" applyFont="1"/>
    <xf numFmtId="164" fontId="36" fillId="0" borderId="0" xfId="28" applyNumberFormat="1" applyFont="1"/>
    <xf numFmtId="0" fontId="24" fillId="0" borderId="0" xfId="0" applyFont="1" applyBorder="1"/>
    <xf numFmtId="164" fontId="23" fillId="0" borderId="0" xfId="28" applyNumberFormat="1" applyFont="1" applyAlignment="1">
      <alignment horizontal="right"/>
    </xf>
    <xf numFmtId="164" fontId="25" fillId="0" borderId="0" xfId="0" applyNumberFormat="1" applyFont="1"/>
    <xf numFmtId="164" fontId="35" fillId="0" borderId="0" xfId="28" applyNumberFormat="1" applyFont="1"/>
    <xf numFmtId="0" fontId="25" fillId="0" borderId="19" xfId="0" applyFont="1" applyBorder="1"/>
    <xf numFmtId="164" fontId="25" fillId="0" borderId="19" xfId="28" applyNumberFormat="1" applyFont="1" applyBorder="1"/>
    <xf numFmtId="164" fontId="36" fillId="0" borderId="0" xfId="28" applyNumberFormat="1" applyFont="1" applyAlignment="1">
      <alignment horizontal="right"/>
    </xf>
    <xf numFmtId="164" fontId="23" fillId="0" borderId="0" xfId="28" applyNumberFormat="1" applyFont="1" applyBorder="1" applyAlignment="1">
      <alignment horizontal="right"/>
    </xf>
    <xf numFmtId="164" fontId="23" fillId="0" borderId="0" xfId="0" applyNumberFormat="1" applyFont="1"/>
    <xf numFmtId="164" fontId="25" fillId="0" borderId="19" xfId="0" applyNumberFormat="1" applyFont="1" applyBorder="1"/>
    <xf numFmtId="0" fontId="23" fillId="0" borderId="0" xfId="0" applyFont="1" applyFill="1" applyBorder="1"/>
    <xf numFmtId="0" fontId="25" fillId="0" borderId="0" xfId="0" applyFont="1" applyFill="1" applyBorder="1" applyAlignment="1">
      <alignment horizontal="center"/>
    </xf>
    <xf numFmtId="0" fontId="24" fillId="0" borderId="0" xfId="0" applyFont="1" applyFill="1" applyBorder="1"/>
    <xf numFmtId="0" fontId="25" fillId="0" borderId="0" xfId="0" applyFont="1" applyFill="1" applyBorder="1"/>
    <xf numFmtId="3" fontId="27" fillId="0" borderId="0" xfId="0" applyNumberFormat="1" applyFont="1" applyFill="1" applyBorder="1"/>
    <xf numFmtId="3" fontId="23" fillId="0" borderId="0" xfId="0" applyNumberFormat="1" applyFont="1" applyFill="1" applyBorder="1"/>
    <xf numFmtId="167" fontId="23" fillId="0" borderId="0" xfId="0" applyNumberFormat="1" applyFont="1" applyFill="1" applyBorder="1"/>
    <xf numFmtId="2" fontId="23" fillId="0" borderId="0" xfId="0" applyNumberFormat="1" applyFont="1" applyFill="1" applyBorder="1"/>
    <xf numFmtId="4" fontId="23" fillId="0" borderId="0" xfId="0" applyNumberFormat="1" applyFont="1" applyFill="1" applyBorder="1"/>
    <xf numFmtId="0" fontId="23" fillId="0" borderId="0" xfId="0" applyFont="1" applyAlignment="1">
      <alignment horizontal="right"/>
    </xf>
    <xf numFmtId="164" fontId="23" fillId="0" borderId="0" xfId="0" applyNumberFormat="1" applyFont="1" applyFill="1" applyBorder="1"/>
    <xf numFmtId="164" fontId="37" fillId="0" borderId="10" xfId="31" applyNumberFormat="1" applyFont="1" applyBorder="1" applyAlignment="1">
      <alignment horizontal="center"/>
    </xf>
    <xf numFmtId="0" fontId="38" fillId="0" borderId="0" xfId="0" applyFont="1"/>
    <xf numFmtId="0" fontId="37" fillId="25" borderId="0" xfId="0" applyFont="1" applyFill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1" fillId="0" borderId="0" xfId="0" applyFont="1" applyAlignment="1">
      <alignment horizontal="right" readingOrder="2"/>
    </xf>
    <xf numFmtId="0" fontId="38" fillId="0" borderId="0" xfId="0" applyNumberFormat="1" applyFont="1"/>
    <xf numFmtId="164" fontId="38" fillId="0" borderId="0" xfId="28" applyNumberFormat="1" applyFont="1"/>
    <xf numFmtId="164" fontId="38" fillId="0" borderId="11" xfId="28" applyNumberFormat="1" applyFont="1" applyBorder="1"/>
    <xf numFmtId="164" fontId="40" fillId="0" borderId="0" xfId="28" applyNumberFormat="1" applyFont="1"/>
    <xf numFmtId="164" fontId="42" fillId="0" borderId="0" xfId="28" applyNumberFormat="1" applyFont="1"/>
    <xf numFmtId="164" fontId="38" fillId="0" borderId="0" xfId="0" applyNumberFormat="1" applyFont="1"/>
    <xf numFmtId="0" fontId="38" fillId="25" borderId="0" xfId="0" applyFont="1" applyFill="1"/>
    <xf numFmtId="0" fontId="0" fillId="0" borderId="0" xfId="0" applyFont="1" applyBorder="1"/>
    <xf numFmtId="0" fontId="25" fillId="0" borderId="0" xfId="0" applyFont="1" applyFill="1"/>
    <xf numFmtId="164" fontId="25" fillId="0" borderId="0" xfId="28" applyNumberFormat="1" applyFont="1" applyFill="1"/>
    <xf numFmtId="0" fontId="23" fillId="0" borderId="0" xfId="0" applyFont="1" applyFill="1"/>
    <xf numFmtId="0" fontId="0" fillId="0" borderId="0" xfId="0" applyFill="1"/>
    <xf numFmtId="164" fontId="23" fillId="25" borderId="11" xfId="28" applyNumberFormat="1" applyFont="1" applyFill="1" applyBorder="1"/>
    <xf numFmtId="0" fontId="35" fillId="0" borderId="0" xfId="0" applyFont="1"/>
    <xf numFmtId="164" fontId="23" fillId="25" borderId="16" xfId="28" applyNumberFormat="1" applyFont="1" applyFill="1" applyBorder="1"/>
    <xf numFmtId="0" fontId="30" fillId="0" borderId="0" xfId="0" applyFont="1" applyFill="1"/>
    <xf numFmtId="0" fontId="28" fillId="0" borderId="0" xfId="0" applyFont="1" applyFill="1" applyAlignment="1">
      <alignment horizontal="right" readingOrder="2"/>
    </xf>
    <xf numFmtId="164" fontId="28" fillId="0" borderId="0" xfId="28" applyNumberFormat="1" applyFont="1" applyFill="1" applyAlignment="1">
      <alignment horizontal="right" readingOrder="2"/>
    </xf>
    <xf numFmtId="2" fontId="0" fillId="0" borderId="0" xfId="0" applyNumberFormat="1" applyFill="1"/>
    <xf numFmtId="164" fontId="26" fillId="0" borderId="0" xfId="28" applyNumberFormat="1" applyFont="1" applyFill="1" applyAlignment="1">
      <alignment horizontal="right" readingOrder="2"/>
    </xf>
    <xf numFmtId="0" fontId="29" fillId="0" borderId="0" xfId="0" applyFont="1" applyFill="1" applyAlignment="1">
      <alignment horizontal="right" readingOrder="2"/>
    </xf>
    <xf numFmtId="0" fontId="22" fillId="0" borderId="0" xfId="0" applyFont="1" applyFill="1"/>
    <xf numFmtId="164" fontId="29" fillId="0" borderId="0" xfId="28" applyNumberFormat="1" applyFont="1" applyFill="1" applyAlignment="1">
      <alignment horizontal="right" readingOrder="2"/>
    </xf>
    <xf numFmtId="2" fontId="22" fillId="0" borderId="0" xfId="0" applyNumberFormat="1" applyFont="1" applyFill="1"/>
    <xf numFmtId="166" fontId="29" fillId="0" borderId="0" xfId="28" applyNumberFormat="1" applyFont="1" applyFill="1" applyAlignment="1">
      <alignment horizontal="right" readingOrder="2"/>
    </xf>
    <xf numFmtId="164" fontId="31" fillId="0" borderId="0" xfId="28" applyNumberFormat="1" applyFont="1" applyFill="1" applyBorder="1" applyAlignment="1">
      <alignment horizontal="right" readingOrder="2"/>
    </xf>
    <xf numFmtId="2" fontId="30" fillId="0" borderId="0" xfId="0" applyNumberFormat="1" applyFont="1" applyFill="1"/>
    <xf numFmtId="0" fontId="0" fillId="0" borderId="0" xfId="0" applyFill="1" applyAlignment="1">
      <alignment horizontal="center"/>
    </xf>
    <xf numFmtId="0" fontId="43" fillId="0" borderId="0" xfId="0" applyFont="1" applyFill="1"/>
    <xf numFmtId="49" fontId="28" fillId="0" borderId="0" xfId="0" applyNumberFormat="1" applyFont="1"/>
    <xf numFmtId="0" fontId="38" fillId="0" borderId="11" xfId="0" applyFont="1" applyBorder="1"/>
    <xf numFmtId="0" fontId="40" fillId="0" borderId="0" xfId="0" applyFont="1" applyAlignment="1">
      <alignment horizontal="right"/>
    </xf>
    <xf numFmtId="164" fontId="38" fillId="25" borderId="0" xfId="28" applyNumberFormat="1" applyFont="1" applyFill="1"/>
    <xf numFmtId="0" fontId="44" fillId="0" borderId="0" xfId="0" applyFont="1"/>
    <xf numFmtId="0" fontId="37" fillId="25" borderId="0" xfId="0" applyFont="1" applyFill="1" applyAlignment="1">
      <alignment horizontal="center"/>
    </xf>
    <xf numFmtId="0" fontId="45" fillId="0" borderId="0" xfId="49" applyFont="1"/>
    <xf numFmtId="0" fontId="46" fillId="0" borderId="0" xfId="49" applyFont="1"/>
    <xf numFmtId="164" fontId="46" fillId="0" borderId="0" xfId="28" applyNumberFormat="1" applyFont="1"/>
    <xf numFmtId="0" fontId="38" fillId="27" borderId="0" xfId="0" applyFont="1" applyFill="1"/>
    <xf numFmtId="164" fontId="38" fillId="27" borderId="0" xfId="28" applyNumberFormat="1" applyFont="1" applyFill="1"/>
    <xf numFmtId="0" fontId="37" fillId="0" borderId="0" xfId="0" applyFont="1"/>
    <xf numFmtId="164" fontId="37" fillId="0" borderId="0" xfId="28" applyNumberFormat="1" applyFont="1"/>
    <xf numFmtId="9" fontId="38" fillId="0" borderId="0" xfId="0" applyNumberFormat="1" applyFont="1"/>
    <xf numFmtId="0" fontId="40" fillId="25" borderId="0" xfId="0" applyFont="1" applyFill="1"/>
    <xf numFmtId="0" fontId="39" fillId="25" borderId="0" xfId="0" applyFont="1" applyFill="1" applyAlignment="1">
      <alignment horizontal="center"/>
    </xf>
    <xf numFmtId="164" fontId="38" fillId="0" borderId="0" xfId="31" applyNumberFormat="1" applyFont="1"/>
    <xf numFmtId="164" fontId="37" fillId="25" borderId="0" xfId="31" applyNumberFormat="1" applyFont="1" applyFill="1" applyAlignment="1"/>
    <xf numFmtId="164" fontId="39" fillId="0" borderId="0" xfId="31" applyNumberFormat="1" applyFont="1" applyAlignment="1">
      <alignment horizontal="center"/>
    </xf>
    <xf numFmtId="164" fontId="40" fillId="0" borderId="0" xfId="31" applyNumberFormat="1" applyFont="1" applyAlignment="1">
      <alignment horizontal="center"/>
    </xf>
    <xf numFmtId="164" fontId="41" fillId="25" borderId="0" xfId="0" applyNumberFormat="1" applyFont="1" applyFill="1" applyAlignment="1"/>
    <xf numFmtId="164" fontId="38" fillId="26" borderId="0" xfId="0" applyNumberFormat="1" applyFont="1" applyFill="1" applyAlignment="1">
      <alignment horizontal="center"/>
    </xf>
    <xf numFmtId="164" fontId="47" fillId="25" borderId="0" xfId="0" applyNumberFormat="1" applyFont="1" applyFill="1" applyAlignment="1"/>
    <xf numFmtId="0" fontId="47" fillId="25" borderId="0" xfId="0" applyFont="1" applyFill="1" applyAlignment="1"/>
    <xf numFmtId="164" fontId="38" fillId="0" borderId="0" xfId="0" applyNumberFormat="1" applyFont="1" applyAlignment="1">
      <alignment horizontal="center"/>
    </xf>
    <xf numFmtId="164" fontId="39" fillId="0" borderId="10" xfId="31" applyNumberFormat="1" applyFont="1" applyFill="1" applyBorder="1" applyAlignment="1">
      <alignment horizontal="center"/>
    </xf>
    <xf numFmtId="164" fontId="37" fillId="0" borderId="10" xfId="31" applyNumberFormat="1" applyFont="1" applyBorder="1" applyAlignment="1">
      <alignment horizontal="right"/>
    </xf>
    <xf numFmtId="164" fontId="47" fillId="0" borderId="10" xfId="31" applyNumberFormat="1" applyFont="1" applyFill="1" applyBorder="1" applyAlignment="1">
      <alignment horizontal="center"/>
    </xf>
    <xf numFmtId="164" fontId="37" fillId="0" borderId="10" xfId="31" applyNumberFormat="1" applyFont="1" applyFill="1" applyBorder="1" applyAlignment="1">
      <alignment horizontal="center"/>
    </xf>
    <xf numFmtId="164" fontId="38" fillId="0" borderId="10" xfId="31" applyNumberFormat="1" applyFont="1" applyBorder="1" applyAlignment="1">
      <alignment horizontal="right"/>
    </xf>
    <xf numFmtId="164" fontId="38" fillId="26" borderId="10" xfId="31" applyNumberFormat="1" applyFont="1" applyFill="1" applyBorder="1" applyAlignment="1">
      <alignment horizontal="center"/>
    </xf>
    <xf numFmtId="164" fontId="41" fillId="0" borderId="10" xfId="31" applyNumberFormat="1" applyFont="1" applyFill="1" applyBorder="1" applyAlignment="1">
      <alignment horizontal="center"/>
    </xf>
    <xf numFmtId="164" fontId="38" fillId="0" borderId="10" xfId="31" applyNumberFormat="1" applyFont="1" applyFill="1" applyBorder="1" applyAlignment="1">
      <alignment horizontal="center"/>
    </xf>
    <xf numFmtId="164" fontId="38" fillId="0" borderId="10" xfId="31" applyNumberFormat="1" applyFont="1" applyBorder="1" applyAlignment="1">
      <alignment horizontal="center"/>
    </xf>
    <xf numFmtId="164" fontId="38" fillId="0" borderId="10" xfId="31" applyNumberFormat="1" applyFont="1" applyFill="1" applyBorder="1" applyAlignment="1">
      <alignment horizontal="right"/>
    </xf>
    <xf numFmtId="0" fontId="38" fillId="0" borderId="0" xfId="0" applyFont="1" applyFill="1"/>
    <xf numFmtId="164" fontId="42" fillId="0" borderId="10" xfId="31" applyNumberFormat="1" applyFont="1" applyFill="1" applyBorder="1" applyAlignment="1">
      <alignment horizontal="center"/>
    </xf>
    <xf numFmtId="164" fontId="37" fillId="0" borderId="0" xfId="31" applyNumberFormat="1" applyFont="1" applyBorder="1" applyAlignment="1">
      <alignment horizontal="right"/>
    </xf>
    <xf numFmtId="164" fontId="38" fillId="0" borderId="0" xfId="31" applyNumberFormat="1" applyFont="1" applyBorder="1" applyAlignment="1">
      <alignment horizontal="center"/>
    </xf>
    <xf numFmtId="164" fontId="37" fillId="0" borderId="0" xfId="31" applyNumberFormat="1" applyFont="1" applyBorder="1" applyAlignment="1">
      <alignment horizontal="center"/>
    </xf>
    <xf numFmtId="164" fontId="48" fillId="0" borderId="0" xfId="31" applyNumberFormat="1" applyFont="1" applyAlignment="1">
      <alignment horizontal="center"/>
    </xf>
    <xf numFmtId="164" fontId="49" fillId="0" borderId="0" xfId="31" applyNumberFormat="1" applyFont="1"/>
    <xf numFmtId="164" fontId="50" fillId="25" borderId="0" xfId="31" applyNumberFormat="1" applyFont="1" applyFill="1" applyAlignment="1"/>
    <xf numFmtId="0" fontId="49" fillId="0" borderId="0" xfId="0" applyFont="1"/>
    <xf numFmtId="0" fontId="38" fillId="25" borderId="0" xfId="0" applyFont="1" applyFill="1" applyAlignment="1"/>
    <xf numFmtId="0" fontId="51" fillId="25" borderId="0" xfId="0" applyFont="1" applyFill="1" applyAlignment="1"/>
    <xf numFmtId="0" fontId="41" fillId="25" borderId="0" xfId="0" applyFont="1" applyFill="1" applyAlignment="1"/>
    <xf numFmtId="0" fontId="46" fillId="0" borderId="0" xfId="61" applyFont="1"/>
    <xf numFmtId="0" fontId="52" fillId="0" borderId="0" xfId="61" applyFont="1" applyAlignment="1">
      <alignment horizontal="center"/>
    </xf>
    <xf numFmtId="0" fontId="53" fillId="24" borderId="0" xfId="61" applyFont="1" applyFill="1" applyAlignment="1">
      <alignment horizontal="center"/>
    </xf>
    <xf numFmtId="0" fontId="47" fillId="0" borderId="0" xfId="46" applyFont="1"/>
    <xf numFmtId="0" fontId="52" fillId="0" borderId="0" xfId="61" applyFont="1"/>
    <xf numFmtId="168" fontId="46" fillId="0" borderId="0" xfId="62" applyNumberFormat="1" applyFont="1"/>
    <xf numFmtId="0" fontId="46" fillId="0" borderId="0" xfId="61" applyFont="1" applyAlignment="1">
      <alignment horizontal="center"/>
    </xf>
    <xf numFmtId="165" fontId="46" fillId="0" borderId="0" xfId="60" applyNumberFormat="1" applyFont="1"/>
    <xf numFmtId="164" fontId="46" fillId="0" borderId="0" xfId="60" applyNumberFormat="1" applyFont="1"/>
    <xf numFmtId="164" fontId="54" fillId="0" borderId="0" xfId="60" applyNumberFormat="1" applyFont="1"/>
    <xf numFmtId="164" fontId="53" fillId="0" borderId="0" xfId="60" applyNumberFormat="1" applyFont="1"/>
    <xf numFmtId="0" fontId="55" fillId="0" borderId="0" xfId="61" applyFont="1" applyAlignment="1">
      <alignment horizontal="center"/>
    </xf>
    <xf numFmtId="164" fontId="46" fillId="0" borderId="0" xfId="61" applyNumberFormat="1" applyFont="1"/>
    <xf numFmtId="0" fontId="55" fillId="0" borderId="0" xfId="61" applyFont="1"/>
    <xf numFmtId="0" fontId="53" fillId="0" borderId="0" xfId="61" applyFont="1"/>
    <xf numFmtId="164" fontId="54" fillId="0" borderId="0" xfId="61" applyNumberFormat="1" applyFont="1"/>
    <xf numFmtId="164" fontId="53" fillId="0" borderId="0" xfId="61" applyNumberFormat="1" applyFont="1"/>
    <xf numFmtId="0" fontId="56" fillId="0" borderId="0" xfId="0" applyFont="1"/>
    <xf numFmtId="0" fontId="23" fillId="25" borderId="0" xfId="0" applyFont="1" applyFill="1" applyAlignment="1">
      <alignment horizontal="right"/>
    </xf>
    <xf numFmtId="0" fontId="2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164" fontId="35" fillId="0" borderId="0" xfId="28" applyNumberFormat="1" applyFont="1" applyBorder="1" applyAlignment="1">
      <alignment horizontal="center"/>
    </xf>
    <xf numFmtId="0" fontId="39" fillId="0" borderId="0" xfId="0" applyFont="1" applyAlignment="1">
      <alignment horizontal="center"/>
    </xf>
    <xf numFmtId="164" fontId="39" fillId="0" borderId="0" xfId="31" applyNumberFormat="1" applyFont="1" applyAlignment="1">
      <alignment horizontal="center"/>
    </xf>
  </cellXfs>
  <cellStyles count="6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Comma" xfId="28" builtinId="3"/>
    <cellStyle name="Comma 2" xfId="29"/>
    <cellStyle name="Comma 2 2" xfId="30"/>
    <cellStyle name="Comma 2 2 2" xfId="31"/>
    <cellStyle name="Comma 2 2 3" xfId="60"/>
    <cellStyle name="Comma 3" xfId="32"/>
    <cellStyle name="Comma 3 2" xfId="33"/>
    <cellStyle name="Comma 4" xfId="34"/>
    <cellStyle name="Comma 5" xfId="35"/>
    <cellStyle name="Explanatory Text" xfId="36"/>
    <cellStyle name="Good" xfId="37"/>
    <cellStyle name="Heading 1" xfId="38"/>
    <cellStyle name="Heading 2" xfId="39"/>
    <cellStyle name="Heading 3" xfId="40"/>
    <cellStyle name="Heading 4" xfId="41"/>
    <cellStyle name="Input" xfId="42"/>
    <cellStyle name="Linked Cell" xfId="43"/>
    <cellStyle name="Neutral" xfId="44"/>
    <cellStyle name="Normal" xfId="0" builtinId="0"/>
    <cellStyle name="Normal 2" xfId="45"/>
    <cellStyle name="Normal 2 2" xfId="46"/>
    <cellStyle name="Normal 2 3" xfId="47"/>
    <cellStyle name="Normal 3" xfId="48"/>
    <cellStyle name="Normal_פתרון שאלה בהתחייבויות 2" xfId="61"/>
    <cellStyle name="Normal_פתרון_ייחוס_מיסים_ברוך_מועד_א_חש_ב_סימסטר_א_תשסט_26.2.09" xfId="49"/>
    <cellStyle name="Note" xfId="50"/>
    <cellStyle name="Output" xfId="51"/>
    <cellStyle name="Percent 2" xfId="52"/>
    <cellStyle name="Percent 3" xfId="53"/>
    <cellStyle name="Percent 3 2" xfId="54"/>
    <cellStyle name="Percent 3 2 2" xfId="55"/>
    <cellStyle name="Percent 3 2 3" xfId="62"/>
    <cellStyle name="Percent 4" xfId="56"/>
    <cellStyle name="Title" xfId="57"/>
    <cellStyle name="Total" xfId="58"/>
    <cellStyle name="Warning Text" xfId="5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J23"/>
  <sheetViews>
    <sheetView rightToLeft="1" workbookViewId="0">
      <selection activeCell="J20" sqref="J20"/>
    </sheetView>
  </sheetViews>
  <sheetFormatPr defaultRowHeight="14" x14ac:dyDescent="0.3"/>
  <sheetData>
    <row r="8" spans="3:3" ht="25" x14ac:dyDescent="0.5">
      <c r="C8" s="170" t="s">
        <v>207</v>
      </c>
    </row>
    <row r="9" spans="3:3" ht="25" x14ac:dyDescent="0.5">
      <c r="C9" s="170" t="s">
        <v>208</v>
      </c>
    </row>
    <row r="10" spans="3:3" ht="25" x14ac:dyDescent="0.5">
      <c r="C10" s="170" t="s">
        <v>209</v>
      </c>
    </row>
    <row r="17" spans="9:10" x14ac:dyDescent="0.3">
      <c r="I17">
        <v>1</v>
      </c>
      <c r="J17">
        <f>'שאלה 1 - דוח ת"מ'!E51+'שאלה 1 - ביאורים ת"מ'!G46+'יחסים פיננסיים'!M21</f>
        <v>28</v>
      </c>
    </row>
    <row r="18" spans="9:10" x14ac:dyDescent="0.3">
      <c r="I18">
        <v>2</v>
      </c>
      <c r="J18">
        <f>'שאלה 2 - השקעות'!M74</f>
        <v>22</v>
      </c>
    </row>
    <row r="19" spans="9:10" x14ac:dyDescent="0.3">
      <c r="I19">
        <v>3</v>
      </c>
      <c r="J19">
        <f>'שאלה 3 - ייחוס מיסים'!F22</f>
        <v>8</v>
      </c>
    </row>
    <row r="20" spans="9:10" x14ac:dyDescent="0.3">
      <c r="I20">
        <v>4</v>
      </c>
      <c r="J20">
        <f>'שאלה 4 - הון עצמי'!G48</f>
        <v>22</v>
      </c>
    </row>
    <row r="21" spans="9:10" x14ac:dyDescent="0.3">
      <c r="I21">
        <v>5</v>
      </c>
      <c r="J21">
        <f>'שאלה 5 - אגח'!I56</f>
        <v>20</v>
      </c>
    </row>
    <row r="23" spans="9:10" x14ac:dyDescent="0.3">
      <c r="J23">
        <f>SUM(J17:J22)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2"/>
  <sheetViews>
    <sheetView rightToLeft="1" topLeftCell="A22" zoomScaleNormal="100" workbookViewId="0">
      <selection activeCell="C45" sqref="C45"/>
    </sheetView>
  </sheetViews>
  <sheetFormatPr defaultColWidth="9" defaultRowHeight="15.5" x14ac:dyDescent="0.35"/>
  <cols>
    <col min="1" max="1" width="26.08203125" style="1" customWidth="1"/>
    <col min="2" max="2" width="15.83203125" style="1" customWidth="1"/>
    <col min="3" max="3" width="17.33203125" style="1" customWidth="1"/>
    <col min="4" max="4" width="9" style="1"/>
    <col min="5" max="5" width="9" style="14"/>
    <col min="6" max="6" width="11.58203125" style="1" customWidth="1"/>
    <col min="7" max="7" width="9" style="1"/>
    <col min="8" max="8" width="11.75" style="1" customWidth="1"/>
    <col min="9" max="9" width="9.58203125" style="1" bestFit="1" customWidth="1"/>
    <col min="10" max="16384" width="9" style="1"/>
  </cols>
  <sheetData>
    <row r="1" spans="1:13" x14ac:dyDescent="0.35">
      <c r="A1" s="172" t="s">
        <v>54</v>
      </c>
      <c r="B1" s="172"/>
      <c r="C1" s="172"/>
      <c r="D1" s="172"/>
      <c r="E1" s="172"/>
      <c r="F1" s="59"/>
      <c r="G1" s="59"/>
      <c r="H1" s="59"/>
      <c r="I1" s="59"/>
      <c r="J1" s="59"/>
      <c r="K1" s="59"/>
      <c r="L1" s="59"/>
      <c r="M1" s="60"/>
    </row>
    <row r="2" spans="1:13" x14ac:dyDescent="0.35">
      <c r="B2" s="47"/>
      <c r="E2" s="4" t="s">
        <v>0</v>
      </c>
      <c r="F2" s="61"/>
      <c r="G2" s="62"/>
      <c r="H2" s="62"/>
      <c r="I2" s="62"/>
      <c r="J2" s="62"/>
      <c r="K2" s="62"/>
      <c r="L2" s="59"/>
      <c r="M2" s="60"/>
    </row>
    <row r="3" spans="1:13" x14ac:dyDescent="0.35">
      <c r="F3" s="59"/>
      <c r="G3" s="59"/>
      <c r="H3" s="63"/>
      <c r="I3" s="59"/>
      <c r="J3" s="59"/>
      <c r="K3" s="63"/>
      <c r="L3" s="59"/>
      <c r="M3" s="60"/>
    </row>
    <row r="4" spans="1:13" x14ac:dyDescent="0.35">
      <c r="A4" s="2" t="s">
        <v>38</v>
      </c>
      <c r="E4" s="4"/>
      <c r="F4" s="62"/>
      <c r="G4" s="59"/>
      <c r="H4" s="64"/>
      <c r="I4" s="64"/>
      <c r="J4" s="65"/>
      <c r="K4" s="64"/>
      <c r="L4" s="59"/>
      <c r="M4" s="60"/>
    </row>
    <row r="5" spans="1:13" x14ac:dyDescent="0.35">
      <c r="A5" s="1" t="s">
        <v>3</v>
      </c>
      <c r="C5" s="3">
        <f>'שאלה 1 - ביאורים ת"מ'!D42</f>
        <v>99000</v>
      </c>
      <c r="E5" s="4">
        <v>2</v>
      </c>
      <c r="F5" s="59"/>
      <c r="G5" s="59"/>
      <c r="H5" s="64"/>
      <c r="I5" s="64"/>
      <c r="J5" s="64"/>
      <c r="K5" s="64"/>
      <c r="L5" s="59"/>
      <c r="M5" s="60"/>
    </row>
    <row r="6" spans="1:13" ht="18.5" x14ac:dyDescent="0.65">
      <c r="A6" s="1" t="s">
        <v>39</v>
      </c>
      <c r="C6" s="48">
        <f>C45</f>
        <v>6000</v>
      </c>
      <c r="E6" s="4"/>
      <c r="F6" s="59"/>
      <c r="G6" s="59"/>
      <c r="H6" s="64"/>
      <c r="I6" s="64"/>
      <c r="J6" s="64"/>
      <c r="K6" s="64"/>
      <c r="L6" s="59"/>
      <c r="M6" s="60"/>
    </row>
    <row r="7" spans="1:13" x14ac:dyDescent="0.35">
      <c r="A7" s="12" t="s">
        <v>40</v>
      </c>
      <c r="B7" s="12"/>
      <c r="C7" s="13">
        <f>SUM(C5:C6)</f>
        <v>105000</v>
      </c>
      <c r="E7" s="4"/>
      <c r="F7" s="59"/>
      <c r="G7" s="59"/>
      <c r="H7" s="63"/>
      <c r="I7" s="63"/>
      <c r="J7" s="63"/>
      <c r="K7" s="63"/>
      <c r="L7" s="59"/>
      <c r="M7" s="60"/>
    </row>
    <row r="8" spans="1:13" x14ac:dyDescent="0.35">
      <c r="E8" s="4"/>
      <c r="F8" s="62"/>
      <c r="G8" s="66"/>
      <c r="H8" s="64"/>
      <c r="I8" s="64"/>
      <c r="J8" s="67"/>
      <c r="K8" s="64"/>
      <c r="L8" s="59"/>
      <c r="M8" s="60"/>
    </row>
    <row r="9" spans="1:13" x14ac:dyDescent="0.35">
      <c r="A9" s="2" t="s">
        <v>41</v>
      </c>
      <c r="B9" s="47"/>
      <c r="C9" s="3"/>
      <c r="E9" s="4">
        <v>3</v>
      </c>
      <c r="F9" s="59"/>
      <c r="G9" s="59"/>
      <c r="H9" s="64"/>
      <c r="I9" s="64"/>
      <c r="J9" s="64"/>
      <c r="K9" s="64"/>
      <c r="L9" s="59"/>
      <c r="M9" s="60"/>
    </row>
    <row r="10" spans="1:13" x14ac:dyDescent="0.35">
      <c r="A10" s="1" t="s">
        <v>59</v>
      </c>
      <c r="C10" s="3">
        <f>-'שאלה 1 - ביאורים ת"מ'!B4</f>
        <v>45000</v>
      </c>
      <c r="E10" s="4"/>
      <c r="F10" s="59"/>
      <c r="G10" s="59"/>
      <c r="H10" s="59"/>
      <c r="I10" s="59"/>
      <c r="J10" s="59"/>
      <c r="K10" s="59"/>
      <c r="L10" s="59"/>
      <c r="M10" s="60"/>
    </row>
    <row r="11" spans="1:13" x14ac:dyDescent="0.35">
      <c r="A11" s="1" t="s">
        <v>60</v>
      </c>
      <c r="C11" s="3">
        <f>-'שאלה 1 - ביאורים ת"מ'!B6</f>
        <v>-70000</v>
      </c>
      <c r="E11" s="4"/>
      <c r="F11" s="59"/>
      <c r="G11" s="59"/>
      <c r="H11" s="59"/>
      <c r="I11" s="59"/>
      <c r="J11" s="59"/>
      <c r="K11" s="59"/>
      <c r="L11" s="59"/>
      <c r="M11" s="60"/>
    </row>
    <row r="12" spans="1:13" x14ac:dyDescent="0.35">
      <c r="A12" s="1" t="s">
        <v>106</v>
      </c>
      <c r="C12" s="3">
        <f>-'שאלה 1 - ביאורים ת"מ'!B12</f>
        <v>-20000</v>
      </c>
      <c r="E12" s="4"/>
      <c r="F12" s="59"/>
      <c r="G12" s="59"/>
      <c r="H12" s="59"/>
      <c r="I12" s="59"/>
      <c r="J12" s="59"/>
      <c r="K12" s="59"/>
      <c r="L12" s="59"/>
      <c r="M12" s="60"/>
    </row>
    <row r="13" spans="1:13" ht="18.5" x14ac:dyDescent="0.65">
      <c r="A13" s="1" t="s">
        <v>107</v>
      </c>
      <c r="C13" s="48">
        <f>-'שאלה 1 - ביאורים ת"מ'!B21</f>
        <v>-85000</v>
      </c>
      <c r="E13" s="4"/>
      <c r="F13" s="59"/>
      <c r="G13" s="59"/>
      <c r="H13" s="59"/>
      <c r="I13" s="59"/>
      <c r="J13" s="59"/>
      <c r="K13" s="59"/>
      <c r="L13" s="59"/>
      <c r="M13" s="60"/>
    </row>
    <row r="14" spans="1:13" ht="18.5" x14ac:dyDescent="0.65">
      <c r="C14" s="48"/>
      <c r="E14" s="4"/>
      <c r="F14" s="59"/>
      <c r="G14" s="59"/>
      <c r="H14" s="59"/>
      <c r="I14" s="59"/>
      <c r="J14" s="59"/>
      <c r="K14" s="59"/>
      <c r="L14" s="59"/>
      <c r="M14" s="60"/>
    </row>
    <row r="15" spans="1:13" x14ac:dyDescent="0.35">
      <c r="A15" s="19" t="s">
        <v>42</v>
      </c>
      <c r="B15" s="49"/>
      <c r="C15" s="20">
        <f>SUM(C10:C13)</f>
        <v>-130000</v>
      </c>
      <c r="E15" s="4"/>
      <c r="F15" s="59"/>
      <c r="G15" s="59"/>
      <c r="H15" s="59"/>
      <c r="I15" s="59"/>
      <c r="J15" s="59"/>
      <c r="K15" s="59"/>
      <c r="L15" s="59"/>
      <c r="M15" s="60"/>
    </row>
    <row r="16" spans="1:13" ht="18.5" x14ac:dyDescent="0.65">
      <c r="C16" s="48"/>
      <c r="E16" s="4"/>
      <c r="F16" s="59"/>
      <c r="G16" s="59"/>
      <c r="H16" s="59"/>
      <c r="I16" s="59"/>
      <c r="J16" s="59"/>
      <c r="K16" s="59"/>
      <c r="L16" s="59"/>
      <c r="M16" s="60"/>
    </row>
    <row r="17" spans="1:13" x14ac:dyDescent="0.35">
      <c r="E17" s="4"/>
      <c r="F17" s="59"/>
      <c r="G17" s="59"/>
      <c r="H17" s="59"/>
      <c r="I17" s="59"/>
      <c r="J17" s="59"/>
      <c r="K17" s="59"/>
      <c r="L17" s="59"/>
      <c r="M17" s="60"/>
    </row>
    <row r="18" spans="1:13" x14ac:dyDescent="0.35">
      <c r="A18" s="2" t="s">
        <v>43</v>
      </c>
      <c r="B18" s="47"/>
      <c r="C18" s="3"/>
      <c r="E18" s="4">
        <v>2</v>
      </c>
      <c r="F18" s="59"/>
      <c r="G18" s="59"/>
      <c r="H18" s="59"/>
      <c r="I18" s="59"/>
      <c r="J18" s="59"/>
      <c r="K18" s="59"/>
      <c r="L18" s="59"/>
      <c r="M18" s="60"/>
    </row>
    <row r="19" spans="1:13" x14ac:dyDescent="0.35">
      <c r="A19" s="1" t="s">
        <v>104</v>
      </c>
      <c r="C19" s="50">
        <f>'שאלה 1 - ביאורים ת"מ'!D27</f>
        <v>115000</v>
      </c>
      <c r="E19" s="4"/>
      <c r="F19" s="59"/>
      <c r="G19" s="59"/>
      <c r="H19" s="59"/>
      <c r="I19" s="59"/>
      <c r="J19" s="59"/>
      <c r="K19" s="59"/>
      <c r="L19" s="59"/>
      <c r="M19" s="60"/>
    </row>
    <row r="20" spans="1:13" ht="18.5" x14ac:dyDescent="0.65">
      <c r="A20" s="1" t="s">
        <v>44</v>
      </c>
      <c r="C20" s="48">
        <f>'שאלה 1 - ביאורים ת"מ'!B42</f>
        <v>-20000</v>
      </c>
      <c r="E20" s="4"/>
      <c r="F20" s="69">
        <f>C7+C15+C21</f>
        <v>70000</v>
      </c>
      <c r="G20" s="59"/>
      <c r="H20" s="59"/>
      <c r="I20" s="59"/>
      <c r="J20" s="59"/>
      <c r="K20" s="59"/>
      <c r="L20" s="59"/>
      <c r="M20" s="60"/>
    </row>
    <row r="21" spans="1:13" x14ac:dyDescent="0.35">
      <c r="A21" s="12" t="s">
        <v>45</v>
      </c>
      <c r="C21" s="51">
        <f>SUM(C19:C20)</f>
        <v>95000</v>
      </c>
      <c r="E21" s="4"/>
      <c r="F21" s="59"/>
      <c r="G21" s="59"/>
      <c r="H21" s="59"/>
      <c r="I21" s="59"/>
      <c r="J21" s="59"/>
      <c r="K21" s="59"/>
      <c r="L21" s="59"/>
      <c r="M21" s="60"/>
    </row>
    <row r="22" spans="1:13" x14ac:dyDescent="0.35">
      <c r="E22" s="4"/>
      <c r="F22" s="59"/>
      <c r="G22" s="59"/>
      <c r="H22" s="59"/>
      <c r="I22" s="59"/>
      <c r="J22" s="59"/>
      <c r="K22" s="59"/>
      <c r="L22" s="59"/>
      <c r="M22" s="60"/>
    </row>
    <row r="23" spans="1:13" x14ac:dyDescent="0.35">
      <c r="E23" s="4"/>
      <c r="F23" s="59"/>
      <c r="G23" s="59"/>
      <c r="H23" s="59"/>
      <c r="I23" s="59"/>
      <c r="J23" s="59"/>
      <c r="K23" s="59"/>
      <c r="L23" s="59"/>
      <c r="M23" s="60"/>
    </row>
    <row r="24" spans="1:13" x14ac:dyDescent="0.35">
      <c r="A24" s="12" t="s">
        <v>217</v>
      </c>
      <c r="B24" s="12"/>
      <c r="C24" s="13">
        <f>C21+C15+C7</f>
        <v>70000</v>
      </c>
      <c r="E24" s="4"/>
      <c r="F24" s="59"/>
      <c r="G24" s="59"/>
      <c r="H24" s="59"/>
      <c r="I24" s="59"/>
      <c r="J24" s="59"/>
      <c r="K24" s="59"/>
      <c r="L24" s="59"/>
      <c r="M24" s="59"/>
    </row>
    <row r="25" spans="1:13" ht="18.5" x14ac:dyDescent="0.65">
      <c r="A25" s="12" t="s">
        <v>46</v>
      </c>
      <c r="B25" s="12"/>
      <c r="C25" s="52">
        <v>55000</v>
      </c>
      <c r="E25" s="4"/>
    </row>
    <row r="26" spans="1:13" ht="16" thickBot="1" x14ac:dyDescent="0.4">
      <c r="A26" s="53" t="s">
        <v>215</v>
      </c>
      <c r="B26" s="53"/>
      <c r="C26" s="54">
        <f>C24+C25</f>
        <v>125000</v>
      </c>
      <c r="E26" s="4"/>
    </row>
    <row r="27" spans="1:13" x14ac:dyDescent="0.35">
      <c r="C27" s="3"/>
      <c r="E27" s="4"/>
    </row>
    <row r="28" spans="1:13" x14ac:dyDescent="0.35">
      <c r="C28" s="3"/>
      <c r="E28" s="4"/>
    </row>
    <row r="29" spans="1:13" x14ac:dyDescent="0.35">
      <c r="A29" s="2" t="s">
        <v>39</v>
      </c>
      <c r="B29" s="2"/>
      <c r="E29" s="4">
        <v>2</v>
      </c>
    </row>
    <row r="30" spans="1:13" x14ac:dyDescent="0.35">
      <c r="A30" s="47" t="s">
        <v>47</v>
      </c>
      <c r="B30" s="47"/>
      <c r="E30" s="4"/>
    </row>
    <row r="31" spans="1:13" x14ac:dyDescent="0.35">
      <c r="A31" s="1" t="s">
        <v>64</v>
      </c>
      <c r="C31" s="50">
        <f>-'שאלה 1 - ביאורים ת"מ'!B5</f>
        <v>-15000</v>
      </c>
      <c r="E31" s="4"/>
    </row>
    <row r="32" spans="1:13" x14ac:dyDescent="0.35">
      <c r="A32" s="1" t="s">
        <v>108</v>
      </c>
      <c r="C32" s="50">
        <f>-'שאלה 1 - ביאורים ת"מ'!B7</f>
        <v>20000</v>
      </c>
      <c r="E32" s="4"/>
    </row>
    <row r="33" spans="1:5" x14ac:dyDescent="0.35">
      <c r="A33" s="1" t="s">
        <v>48</v>
      </c>
      <c r="C33" s="50">
        <f>'שאלה 1 - ביאורים ת"מ'!D14</f>
        <v>10000</v>
      </c>
      <c r="E33" s="4"/>
    </row>
    <row r="34" spans="1:5" x14ac:dyDescent="0.35">
      <c r="A34" s="1" t="s">
        <v>109</v>
      </c>
      <c r="C34" s="50">
        <f>'שאלה 1 - ביאורים ת"מ'!D28</f>
        <v>-3000</v>
      </c>
      <c r="E34" s="4"/>
    </row>
    <row r="35" spans="1:5" ht="18.5" x14ac:dyDescent="0.65">
      <c r="A35" s="1" t="s">
        <v>96</v>
      </c>
      <c r="C35" s="55">
        <f>-'שאלה 1 - ביאורים ת"מ'!B22</f>
        <v>-30000</v>
      </c>
      <c r="E35" s="4"/>
    </row>
    <row r="36" spans="1:5" x14ac:dyDescent="0.35">
      <c r="C36" s="56">
        <f>SUM(C31:C35)</f>
        <v>-18000</v>
      </c>
      <c r="E36" s="4"/>
    </row>
    <row r="37" spans="1:5" x14ac:dyDescent="0.35">
      <c r="C37" s="57"/>
      <c r="E37" s="4"/>
    </row>
    <row r="38" spans="1:5" x14ac:dyDescent="0.35">
      <c r="A38" s="47" t="s">
        <v>49</v>
      </c>
      <c r="B38" s="47"/>
      <c r="C38" s="50"/>
      <c r="E38" s="4"/>
    </row>
    <row r="39" spans="1:5" x14ac:dyDescent="0.35">
      <c r="A39" s="1" t="s">
        <v>50</v>
      </c>
      <c r="C39" s="50">
        <v>20000</v>
      </c>
      <c r="E39" s="4"/>
    </row>
    <row r="40" spans="1:5" x14ac:dyDescent="0.35">
      <c r="A40" s="1" t="s">
        <v>110</v>
      </c>
      <c r="C40" s="50">
        <v>1000</v>
      </c>
      <c r="E40" s="4"/>
    </row>
    <row r="41" spans="1:5" x14ac:dyDescent="0.35">
      <c r="A41" s="1" t="s">
        <v>111</v>
      </c>
      <c r="C41" s="50">
        <v>34000</v>
      </c>
      <c r="E41" s="4"/>
    </row>
    <row r="42" spans="1:5" ht="18.5" x14ac:dyDescent="0.65">
      <c r="A42" s="1" t="s">
        <v>51</v>
      </c>
      <c r="C42" s="55">
        <v>-31000</v>
      </c>
      <c r="E42" s="4"/>
    </row>
    <row r="43" spans="1:5" x14ac:dyDescent="0.35">
      <c r="C43" s="50">
        <f>SUM(C39:C42)</f>
        <v>24000</v>
      </c>
      <c r="E43" s="4"/>
    </row>
    <row r="44" spans="1:5" x14ac:dyDescent="0.35">
      <c r="E44" s="4"/>
    </row>
    <row r="45" spans="1:5" ht="16" thickBot="1" x14ac:dyDescent="0.4">
      <c r="A45" s="53" t="s">
        <v>52</v>
      </c>
      <c r="B45" s="53"/>
      <c r="C45" s="58">
        <f>C43+C36</f>
        <v>6000</v>
      </c>
      <c r="E45" s="4"/>
    </row>
    <row r="46" spans="1:5" x14ac:dyDescent="0.35">
      <c r="E46" s="4"/>
    </row>
    <row r="47" spans="1:5" x14ac:dyDescent="0.35">
      <c r="E47" s="4"/>
    </row>
    <row r="48" spans="1:5" x14ac:dyDescent="0.35">
      <c r="E48" s="4"/>
    </row>
    <row r="49" spans="1:5" x14ac:dyDescent="0.35">
      <c r="A49" s="2" t="s">
        <v>53</v>
      </c>
      <c r="B49" s="2"/>
      <c r="E49" s="4">
        <v>1</v>
      </c>
    </row>
    <row r="50" spans="1:5" x14ac:dyDescent="0.35">
      <c r="A50" s="1" t="s">
        <v>65</v>
      </c>
      <c r="C50" s="3">
        <v>10000</v>
      </c>
      <c r="E50" s="4"/>
    </row>
    <row r="51" spans="1:5" x14ac:dyDescent="0.35">
      <c r="D51" s="4" t="s">
        <v>1</v>
      </c>
      <c r="E51" s="4">
        <f>SUM(E5:E50)</f>
        <v>10</v>
      </c>
    </row>
    <row r="75" spans="1:13" s="14" customFormat="1" x14ac:dyDescent="0.35">
      <c r="A75" s="1"/>
      <c r="B75" s="3"/>
      <c r="C75" s="1"/>
      <c r="D75" s="3"/>
      <c r="F75" s="1"/>
      <c r="G75" s="1"/>
      <c r="H75" s="1"/>
      <c r="I75" s="1"/>
      <c r="J75" s="1"/>
      <c r="K75" s="1"/>
      <c r="L75" s="1"/>
      <c r="M75" s="1"/>
    </row>
    <row r="76" spans="1:13" s="14" customFormat="1" x14ac:dyDescent="0.35">
      <c r="A76" s="1"/>
      <c r="B76" s="3"/>
      <c r="C76" s="1"/>
      <c r="D76" s="3"/>
      <c r="F76" s="1"/>
      <c r="G76" s="1"/>
      <c r="H76" s="1"/>
      <c r="I76" s="1"/>
      <c r="J76" s="1"/>
      <c r="K76" s="1"/>
      <c r="L76" s="1"/>
      <c r="M76" s="1"/>
    </row>
    <row r="77" spans="1:13" s="14" customFormat="1" x14ac:dyDescent="0.35">
      <c r="A77" s="1"/>
      <c r="B77" s="3"/>
      <c r="C77" s="1"/>
      <c r="D77" s="3"/>
      <c r="F77" s="1"/>
      <c r="G77" s="1"/>
      <c r="H77" s="1"/>
      <c r="I77" s="1"/>
      <c r="J77" s="1"/>
      <c r="K77" s="1"/>
      <c r="L77" s="1"/>
      <c r="M77" s="1"/>
    </row>
    <row r="78" spans="1:13" s="14" customFormat="1" x14ac:dyDescent="0.35">
      <c r="A78" s="1"/>
      <c r="B78" s="3"/>
      <c r="C78" s="1"/>
      <c r="D78" s="3"/>
      <c r="F78" s="1"/>
      <c r="G78" s="1"/>
      <c r="H78" s="1"/>
      <c r="I78" s="1"/>
      <c r="J78" s="1"/>
      <c r="K78" s="1"/>
      <c r="L78" s="1"/>
      <c r="M78" s="1"/>
    </row>
    <row r="79" spans="1:13" s="14" customFormat="1" x14ac:dyDescent="0.35">
      <c r="A79" s="1"/>
      <c r="B79" s="3"/>
      <c r="C79" s="1"/>
      <c r="D79" s="3"/>
      <c r="F79" s="1"/>
      <c r="G79" s="1"/>
      <c r="H79" s="1"/>
      <c r="I79" s="1"/>
      <c r="J79" s="1"/>
      <c r="K79" s="1"/>
      <c r="L79" s="1"/>
      <c r="M79" s="1"/>
    </row>
    <row r="80" spans="1:13" s="14" customFormat="1" x14ac:dyDescent="0.35">
      <c r="A80" s="1"/>
      <c r="B80" s="3"/>
      <c r="C80" s="1"/>
      <c r="D80" s="3"/>
      <c r="F80" s="1"/>
      <c r="G80" s="1"/>
      <c r="H80" s="1"/>
      <c r="I80" s="1"/>
      <c r="J80" s="1"/>
      <c r="K80" s="1"/>
      <c r="L80" s="1"/>
      <c r="M80" s="1"/>
    </row>
    <row r="81" spans="1:13" s="14" customFormat="1" x14ac:dyDescent="0.35">
      <c r="A81" s="1"/>
      <c r="B81" s="3"/>
      <c r="C81" s="1"/>
      <c r="D81" s="3"/>
      <c r="F81" s="1"/>
      <c r="G81" s="1"/>
      <c r="H81" s="1"/>
      <c r="I81" s="1"/>
      <c r="J81" s="1"/>
      <c r="K81" s="1"/>
      <c r="L81" s="1"/>
      <c r="M81" s="1"/>
    </row>
    <row r="82" spans="1:13" s="14" customFormat="1" x14ac:dyDescent="0.35">
      <c r="A82" s="1"/>
      <c r="B82" s="3"/>
      <c r="C82" s="1"/>
      <c r="D82" s="3"/>
      <c r="F82" s="1"/>
      <c r="G82" s="1"/>
      <c r="H82" s="1"/>
      <c r="I82" s="1"/>
      <c r="J82" s="1"/>
      <c r="K82" s="1"/>
      <c r="L82" s="1"/>
      <c r="M82" s="1"/>
    </row>
    <row r="83" spans="1:13" s="14" customFormat="1" x14ac:dyDescent="0.35">
      <c r="A83" s="1"/>
      <c r="B83" s="3"/>
      <c r="C83" s="1"/>
      <c r="D83" s="3"/>
      <c r="F83" s="1"/>
      <c r="G83" s="1"/>
      <c r="H83" s="1"/>
      <c r="I83" s="1"/>
      <c r="J83" s="1"/>
      <c r="K83" s="1"/>
      <c r="L83" s="1"/>
      <c r="M83" s="1"/>
    </row>
    <row r="84" spans="1:13" s="14" customFormat="1" x14ac:dyDescent="0.35">
      <c r="A84" s="1"/>
      <c r="B84" s="3"/>
      <c r="C84" s="1"/>
      <c r="D84" s="3"/>
      <c r="F84" s="1"/>
      <c r="G84" s="1"/>
      <c r="H84" s="1"/>
      <c r="I84" s="1"/>
      <c r="J84" s="1"/>
      <c r="K84" s="1"/>
      <c r="L84" s="1"/>
      <c r="M84" s="1"/>
    </row>
    <row r="85" spans="1:13" s="14" customFormat="1" x14ac:dyDescent="0.35">
      <c r="A85" s="1"/>
      <c r="B85" s="3"/>
      <c r="C85" s="1"/>
      <c r="D85" s="3"/>
      <c r="F85" s="1"/>
      <c r="G85" s="1"/>
      <c r="H85" s="1"/>
      <c r="I85" s="1"/>
      <c r="J85" s="1"/>
      <c r="K85" s="1"/>
      <c r="L85" s="1"/>
      <c r="M85" s="1"/>
    </row>
    <row r="86" spans="1:13" s="14" customFormat="1" x14ac:dyDescent="0.35">
      <c r="A86" s="1"/>
      <c r="B86" s="3"/>
      <c r="C86" s="1"/>
      <c r="D86" s="3"/>
      <c r="F86" s="1"/>
      <c r="G86" s="1"/>
      <c r="H86" s="1"/>
      <c r="I86" s="1"/>
      <c r="J86" s="1"/>
      <c r="K86" s="1"/>
      <c r="L86" s="1"/>
      <c r="M86" s="1"/>
    </row>
    <row r="87" spans="1:13" s="14" customFormat="1" x14ac:dyDescent="0.35">
      <c r="A87" s="1"/>
      <c r="B87" s="3"/>
      <c r="C87" s="1"/>
      <c r="D87" s="3"/>
      <c r="F87" s="1"/>
      <c r="G87" s="1"/>
      <c r="H87" s="1"/>
      <c r="I87" s="1"/>
      <c r="J87" s="1"/>
      <c r="K87" s="1"/>
      <c r="L87" s="1"/>
      <c r="M87" s="1"/>
    </row>
    <row r="88" spans="1:13" s="14" customFormat="1" x14ac:dyDescent="0.35">
      <c r="A88" s="1"/>
      <c r="B88" s="3"/>
      <c r="C88" s="1"/>
      <c r="D88" s="3"/>
      <c r="F88" s="1"/>
      <c r="G88" s="1"/>
      <c r="H88" s="1"/>
      <c r="I88" s="1"/>
      <c r="J88" s="1"/>
      <c r="K88" s="1"/>
      <c r="L88" s="1"/>
      <c r="M88" s="1"/>
    </row>
    <row r="89" spans="1:13" s="14" customFormat="1" x14ac:dyDescent="0.35">
      <c r="A89" s="1"/>
      <c r="B89" s="3"/>
      <c r="C89" s="1"/>
      <c r="D89" s="3"/>
      <c r="F89" s="1"/>
      <c r="G89" s="1"/>
      <c r="H89" s="1"/>
      <c r="I89" s="1"/>
      <c r="J89" s="1"/>
      <c r="K89" s="1"/>
      <c r="L89" s="1"/>
      <c r="M89" s="1"/>
    </row>
    <row r="90" spans="1:13" s="14" customFormat="1" x14ac:dyDescent="0.35">
      <c r="A90" s="1"/>
      <c r="B90" s="3"/>
      <c r="C90" s="1"/>
      <c r="D90" s="3"/>
      <c r="F90" s="1"/>
      <c r="G90" s="1"/>
      <c r="H90" s="1"/>
      <c r="I90" s="1"/>
      <c r="J90" s="1"/>
      <c r="K90" s="1"/>
      <c r="L90" s="1"/>
      <c r="M90" s="1"/>
    </row>
    <row r="91" spans="1:13" s="14" customFormat="1" x14ac:dyDescent="0.35">
      <c r="A91" s="1"/>
      <c r="B91" s="3"/>
      <c r="C91" s="1"/>
      <c r="D91" s="3"/>
      <c r="F91" s="1"/>
      <c r="G91" s="1"/>
      <c r="H91" s="1"/>
      <c r="I91" s="1"/>
      <c r="J91" s="1"/>
      <c r="K91" s="1"/>
      <c r="L91" s="1"/>
      <c r="M91" s="1"/>
    </row>
    <row r="92" spans="1:13" s="14" customFormat="1" x14ac:dyDescent="0.35">
      <c r="A92" s="1"/>
      <c r="B92" s="3"/>
      <c r="C92" s="1"/>
      <c r="D92" s="3"/>
      <c r="F92" s="1"/>
      <c r="G92" s="1"/>
      <c r="H92" s="1"/>
      <c r="I92" s="1"/>
      <c r="J92" s="1"/>
      <c r="K92" s="1"/>
      <c r="L92" s="1"/>
      <c r="M92" s="1"/>
    </row>
    <row r="93" spans="1:13" s="14" customFormat="1" x14ac:dyDescent="0.35">
      <c r="A93" s="1"/>
      <c r="B93" s="3"/>
      <c r="C93" s="1"/>
      <c r="D93" s="3"/>
      <c r="F93" s="1"/>
      <c r="G93" s="1"/>
      <c r="H93" s="1"/>
      <c r="I93" s="1"/>
      <c r="J93" s="1"/>
      <c r="K93" s="1"/>
      <c r="L93" s="1"/>
      <c r="M93" s="1"/>
    </row>
    <row r="94" spans="1:13" s="14" customFormat="1" x14ac:dyDescent="0.35">
      <c r="A94" s="1"/>
      <c r="B94" s="3"/>
      <c r="C94" s="1"/>
      <c r="D94" s="3"/>
      <c r="F94" s="1"/>
      <c r="G94" s="1"/>
      <c r="H94" s="1"/>
      <c r="I94" s="1"/>
      <c r="J94" s="1"/>
      <c r="K94" s="1"/>
      <c r="L94" s="1"/>
      <c r="M94" s="1"/>
    </row>
    <row r="95" spans="1:13" s="14" customFormat="1" x14ac:dyDescent="0.35">
      <c r="A95" s="1"/>
      <c r="B95" s="3"/>
      <c r="C95" s="1"/>
      <c r="D95" s="3"/>
      <c r="F95" s="1"/>
      <c r="G95" s="1"/>
      <c r="H95" s="1"/>
      <c r="I95" s="1"/>
      <c r="J95" s="1"/>
      <c r="K95" s="1"/>
      <c r="L95" s="1"/>
      <c r="M95" s="1"/>
    </row>
    <row r="96" spans="1:13" s="14" customFormat="1" x14ac:dyDescent="0.35">
      <c r="A96" s="1"/>
      <c r="B96" s="3"/>
      <c r="C96" s="1"/>
      <c r="D96" s="3"/>
      <c r="F96" s="1"/>
      <c r="G96" s="1"/>
      <c r="H96" s="1"/>
      <c r="I96" s="1"/>
      <c r="J96" s="1"/>
      <c r="K96" s="1"/>
      <c r="L96" s="1"/>
      <c r="M96" s="1"/>
    </row>
    <row r="97" spans="1:13" s="14" customFormat="1" x14ac:dyDescent="0.35">
      <c r="A97" s="1"/>
      <c r="B97" s="3"/>
      <c r="C97" s="1"/>
      <c r="D97" s="3"/>
      <c r="F97" s="1"/>
      <c r="G97" s="1"/>
      <c r="H97" s="1"/>
      <c r="I97" s="1"/>
      <c r="J97" s="1"/>
      <c r="K97" s="1"/>
      <c r="L97" s="1"/>
      <c r="M97" s="1"/>
    </row>
    <row r="98" spans="1:13" s="14" customFormat="1" x14ac:dyDescent="0.35">
      <c r="A98" s="1"/>
      <c r="B98" s="3"/>
      <c r="C98" s="1"/>
      <c r="D98" s="3"/>
      <c r="F98" s="1"/>
      <c r="G98" s="1"/>
      <c r="H98" s="1"/>
      <c r="I98" s="1"/>
      <c r="J98" s="1"/>
      <c r="K98" s="1"/>
      <c r="L98" s="1"/>
      <c r="M98" s="1"/>
    </row>
    <row r="99" spans="1:13" s="14" customFormat="1" x14ac:dyDescent="0.35">
      <c r="A99" s="1"/>
      <c r="B99" s="3"/>
      <c r="C99" s="1"/>
      <c r="D99" s="3"/>
      <c r="F99" s="1"/>
      <c r="G99" s="1"/>
      <c r="H99" s="1"/>
      <c r="I99" s="1"/>
      <c r="J99" s="1"/>
      <c r="K99" s="1"/>
      <c r="L99" s="1"/>
      <c r="M99" s="1"/>
    </row>
    <row r="100" spans="1:13" s="14" customFormat="1" x14ac:dyDescent="0.35">
      <c r="A100" s="1"/>
      <c r="B100" s="3"/>
      <c r="C100" s="1"/>
      <c r="D100" s="3"/>
      <c r="F100" s="1"/>
      <c r="G100" s="1"/>
      <c r="H100" s="1"/>
      <c r="I100" s="1"/>
      <c r="J100" s="1"/>
      <c r="K100" s="1"/>
      <c r="L100" s="1"/>
      <c r="M100" s="1"/>
    </row>
    <row r="101" spans="1:13" s="14" customFormat="1" x14ac:dyDescent="0.35">
      <c r="A101" s="1"/>
      <c r="B101" s="3"/>
      <c r="C101" s="1"/>
      <c r="D101" s="3"/>
      <c r="F101" s="1"/>
      <c r="G101" s="1"/>
      <c r="H101" s="1"/>
      <c r="I101" s="1"/>
      <c r="J101" s="1"/>
      <c r="K101" s="1"/>
      <c r="L101" s="1"/>
      <c r="M101" s="1"/>
    </row>
    <row r="102" spans="1:13" s="14" customFormat="1" x14ac:dyDescent="0.35">
      <c r="A102" s="1"/>
      <c r="B102" s="3"/>
      <c r="C102" s="1"/>
      <c r="D102" s="3"/>
      <c r="F102" s="1"/>
      <c r="G102" s="1"/>
      <c r="H102" s="1"/>
      <c r="I102" s="1"/>
      <c r="J102" s="1"/>
      <c r="K102" s="1"/>
      <c r="L102" s="1"/>
      <c r="M102" s="1"/>
    </row>
    <row r="103" spans="1:13" s="14" customFormat="1" x14ac:dyDescent="0.35">
      <c r="A103" s="1"/>
      <c r="B103" s="3"/>
      <c r="C103" s="1"/>
      <c r="D103" s="3"/>
      <c r="F103" s="1"/>
      <c r="G103" s="1"/>
      <c r="H103" s="1"/>
      <c r="I103" s="1"/>
      <c r="J103" s="1"/>
      <c r="K103" s="1"/>
      <c r="L103" s="1"/>
      <c r="M103" s="1"/>
    </row>
    <row r="104" spans="1:13" s="14" customFormat="1" x14ac:dyDescent="0.35">
      <c r="A104" s="1"/>
      <c r="B104" s="3"/>
      <c r="C104" s="1"/>
      <c r="D104" s="3"/>
      <c r="F104" s="1"/>
      <c r="G104" s="1"/>
      <c r="H104" s="1"/>
      <c r="I104" s="1"/>
      <c r="J104" s="1"/>
      <c r="K104" s="1"/>
      <c r="L104" s="1"/>
      <c r="M104" s="1"/>
    </row>
    <row r="105" spans="1:13" s="14" customFormat="1" x14ac:dyDescent="0.35">
      <c r="A105" s="1"/>
      <c r="B105" s="3"/>
      <c r="C105" s="1"/>
      <c r="D105" s="3"/>
      <c r="F105" s="1"/>
      <c r="G105" s="1"/>
      <c r="H105" s="1"/>
      <c r="I105" s="1"/>
      <c r="J105" s="1"/>
      <c r="K105" s="1"/>
      <c r="L105" s="1"/>
      <c r="M105" s="1"/>
    </row>
    <row r="106" spans="1:13" s="14" customFormat="1" x14ac:dyDescent="0.35">
      <c r="A106" s="1"/>
      <c r="B106" s="3"/>
      <c r="C106" s="1"/>
      <c r="D106" s="3"/>
      <c r="F106" s="1"/>
      <c r="G106" s="1"/>
      <c r="H106" s="1"/>
      <c r="I106" s="1"/>
      <c r="J106" s="1"/>
      <c r="K106" s="1"/>
      <c r="L106" s="1"/>
      <c r="M106" s="1"/>
    </row>
    <row r="107" spans="1:13" s="14" customFormat="1" x14ac:dyDescent="0.35">
      <c r="A107" s="1"/>
      <c r="B107" s="3"/>
      <c r="C107" s="1"/>
      <c r="D107" s="3"/>
      <c r="F107" s="1"/>
      <c r="G107" s="1"/>
      <c r="H107" s="1"/>
      <c r="I107" s="1"/>
      <c r="J107" s="1"/>
      <c r="K107" s="1"/>
      <c r="L107" s="1"/>
      <c r="M107" s="1"/>
    </row>
    <row r="108" spans="1:13" s="14" customFormat="1" x14ac:dyDescent="0.35">
      <c r="A108" s="1"/>
      <c r="B108" s="3"/>
      <c r="C108" s="1"/>
      <c r="D108" s="3"/>
      <c r="F108" s="1"/>
      <c r="G108" s="1"/>
      <c r="H108" s="1"/>
      <c r="I108" s="1"/>
      <c r="J108" s="1"/>
      <c r="K108" s="1"/>
      <c r="L108" s="1"/>
      <c r="M108" s="1"/>
    </row>
    <row r="109" spans="1:13" s="14" customFormat="1" x14ac:dyDescent="0.35">
      <c r="A109" s="1"/>
      <c r="B109" s="3"/>
      <c r="C109" s="1"/>
      <c r="D109" s="3"/>
      <c r="F109" s="1"/>
      <c r="G109" s="1"/>
      <c r="H109" s="1"/>
      <c r="I109" s="1"/>
      <c r="J109" s="1"/>
      <c r="K109" s="1"/>
      <c r="L109" s="1"/>
      <c r="M109" s="1"/>
    </row>
    <row r="110" spans="1:13" s="14" customFormat="1" x14ac:dyDescent="0.35">
      <c r="A110" s="1"/>
      <c r="B110" s="3"/>
      <c r="C110" s="1"/>
      <c r="D110" s="3"/>
      <c r="F110" s="1"/>
      <c r="G110" s="1"/>
      <c r="H110" s="1"/>
      <c r="I110" s="1"/>
      <c r="J110" s="1"/>
      <c r="K110" s="1"/>
      <c r="L110" s="1"/>
      <c r="M110" s="1"/>
    </row>
    <row r="111" spans="1:13" s="14" customFormat="1" x14ac:dyDescent="0.35">
      <c r="A111" s="1"/>
      <c r="B111" s="3"/>
      <c r="C111" s="1"/>
      <c r="D111" s="3"/>
      <c r="F111" s="1"/>
      <c r="G111" s="1"/>
      <c r="H111" s="1"/>
      <c r="I111" s="1"/>
      <c r="J111" s="1"/>
      <c r="K111" s="1"/>
      <c r="L111" s="1"/>
      <c r="M111" s="1"/>
    </row>
    <row r="112" spans="1:13" s="14" customFormat="1" x14ac:dyDescent="0.35">
      <c r="A112" s="1"/>
      <c r="B112" s="3"/>
      <c r="C112" s="1"/>
      <c r="D112" s="3"/>
      <c r="F112" s="1"/>
      <c r="G112" s="1"/>
      <c r="H112" s="1"/>
      <c r="I112" s="1"/>
      <c r="J112" s="1"/>
      <c r="K112" s="1"/>
      <c r="L112" s="1"/>
      <c r="M112" s="1"/>
    </row>
    <row r="113" spans="1:13" s="14" customFormat="1" x14ac:dyDescent="0.35">
      <c r="A113" s="1"/>
      <c r="B113" s="3"/>
      <c r="C113" s="1"/>
      <c r="D113" s="3"/>
      <c r="F113" s="1"/>
      <c r="G113" s="1"/>
      <c r="H113" s="1"/>
      <c r="I113" s="1"/>
      <c r="J113" s="1"/>
      <c r="K113" s="1"/>
      <c r="L113" s="1"/>
      <c r="M113" s="1"/>
    </row>
    <row r="114" spans="1:13" s="14" customFormat="1" x14ac:dyDescent="0.35">
      <c r="A114" s="1"/>
      <c r="B114" s="3"/>
      <c r="C114" s="1"/>
      <c r="D114" s="3"/>
      <c r="F114" s="1"/>
      <c r="G114" s="1"/>
      <c r="H114" s="1"/>
      <c r="I114" s="1"/>
      <c r="J114" s="1"/>
      <c r="K114" s="1"/>
      <c r="L114" s="1"/>
      <c r="M114" s="1"/>
    </row>
    <row r="115" spans="1:13" s="14" customFormat="1" x14ac:dyDescent="0.35">
      <c r="A115" s="1"/>
      <c r="B115" s="3"/>
      <c r="C115" s="1"/>
      <c r="D115" s="3"/>
      <c r="F115" s="1"/>
      <c r="G115" s="1"/>
      <c r="H115" s="1"/>
      <c r="I115" s="1"/>
      <c r="J115" s="1"/>
      <c r="K115" s="1"/>
      <c r="L115" s="1"/>
      <c r="M115" s="1"/>
    </row>
    <row r="116" spans="1:13" s="14" customFormat="1" x14ac:dyDescent="0.35">
      <c r="A116" s="1"/>
      <c r="B116" s="3"/>
      <c r="C116" s="1"/>
      <c r="D116" s="3"/>
      <c r="F116" s="1"/>
      <c r="G116" s="1"/>
      <c r="H116" s="1"/>
      <c r="I116" s="1"/>
      <c r="J116" s="1"/>
      <c r="K116" s="1"/>
      <c r="L116" s="1"/>
      <c r="M116" s="1"/>
    </row>
    <row r="117" spans="1:13" s="14" customFormat="1" x14ac:dyDescent="0.35">
      <c r="A117" s="1"/>
      <c r="B117" s="3"/>
      <c r="C117" s="1"/>
      <c r="D117" s="3"/>
      <c r="F117" s="1"/>
      <c r="G117" s="1"/>
      <c r="H117" s="1"/>
      <c r="I117" s="1"/>
      <c r="J117" s="1"/>
      <c r="K117" s="1"/>
      <c r="L117" s="1"/>
      <c r="M117" s="1"/>
    </row>
    <row r="118" spans="1:13" s="14" customFormat="1" x14ac:dyDescent="0.35">
      <c r="A118" s="1"/>
      <c r="B118" s="3"/>
      <c r="C118" s="1"/>
      <c r="D118" s="3"/>
      <c r="F118" s="1"/>
      <c r="G118" s="1"/>
      <c r="H118" s="1"/>
      <c r="I118" s="1"/>
      <c r="J118" s="1"/>
      <c r="K118" s="1"/>
      <c r="L118" s="1"/>
      <c r="M118" s="1"/>
    </row>
    <row r="119" spans="1:13" s="14" customFormat="1" x14ac:dyDescent="0.35">
      <c r="A119" s="1"/>
      <c r="B119" s="3"/>
      <c r="C119" s="1"/>
      <c r="D119" s="3"/>
      <c r="F119" s="1"/>
      <c r="G119" s="1"/>
      <c r="H119" s="1"/>
      <c r="I119" s="1"/>
      <c r="J119" s="1"/>
      <c r="K119" s="1"/>
      <c r="L119" s="1"/>
      <c r="M119" s="1"/>
    </row>
    <row r="120" spans="1:13" s="14" customFormat="1" x14ac:dyDescent="0.35">
      <c r="A120" s="1"/>
      <c r="B120" s="3"/>
      <c r="C120" s="1"/>
      <c r="D120" s="3"/>
      <c r="F120" s="1"/>
      <c r="G120" s="1"/>
      <c r="H120" s="1"/>
      <c r="I120" s="1"/>
      <c r="J120" s="1"/>
      <c r="K120" s="1"/>
      <c r="L120" s="1"/>
      <c r="M120" s="1"/>
    </row>
    <row r="121" spans="1:13" s="14" customFormat="1" x14ac:dyDescent="0.35">
      <c r="A121" s="1"/>
      <c r="B121" s="3"/>
      <c r="C121" s="1"/>
      <c r="D121" s="3"/>
      <c r="F121" s="1"/>
      <c r="G121" s="1"/>
      <c r="H121" s="1"/>
      <c r="I121" s="1"/>
      <c r="J121" s="1"/>
      <c r="K121" s="1"/>
      <c r="L121" s="1"/>
      <c r="M121" s="1"/>
    </row>
    <row r="122" spans="1:13" s="14" customFormat="1" x14ac:dyDescent="0.35">
      <c r="A122" s="1"/>
      <c r="B122" s="3"/>
      <c r="C122" s="1"/>
      <c r="D122" s="3"/>
      <c r="F122" s="1"/>
      <c r="G122" s="1"/>
      <c r="H122" s="1"/>
      <c r="I122" s="1"/>
      <c r="J122" s="1"/>
      <c r="K122" s="1"/>
      <c r="L122" s="1"/>
      <c r="M122" s="1"/>
    </row>
    <row r="123" spans="1:13" s="14" customFormat="1" x14ac:dyDescent="0.35">
      <c r="A123" s="1"/>
      <c r="B123" s="3"/>
      <c r="C123" s="1"/>
      <c r="D123" s="3"/>
      <c r="F123" s="1"/>
      <c r="G123" s="1"/>
      <c r="H123" s="1"/>
      <c r="I123" s="1"/>
      <c r="J123" s="1"/>
      <c r="K123" s="1"/>
      <c r="L123" s="1"/>
      <c r="M123" s="1"/>
    </row>
    <row r="124" spans="1:13" s="14" customFormat="1" x14ac:dyDescent="0.35">
      <c r="A124" s="1"/>
      <c r="B124" s="3"/>
      <c r="C124" s="1"/>
      <c r="D124" s="3"/>
      <c r="F124" s="1"/>
      <c r="G124" s="1"/>
      <c r="H124" s="1"/>
      <c r="I124" s="1"/>
      <c r="J124" s="1"/>
      <c r="K124" s="1"/>
      <c r="L124" s="1"/>
      <c r="M124" s="1"/>
    </row>
    <row r="125" spans="1:13" s="14" customFormat="1" x14ac:dyDescent="0.35">
      <c r="A125" s="1"/>
      <c r="B125" s="1"/>
      <c r="C125" s="1"/>
      <c r="D125" s="3"/>
      <c r="F125" s="1"/>
      <c r="G125" s="1"/>
      <c r="H125" s="1"/>
      <c r="I125" s="1"/>
      <c r="J125" s="1"/>
      <c r="K125" s="1"/>
      <c r="L125" s="1"/>
      <c r="M125" s="1"/>
    </row>
    <row r="126" spans="1:13" s="14" customFormat="1" x14ac:dyDescent="0.35">
      <c r="A126" s="1"/>
      <c r="B126" s="1"/>
      <c r="C126" s="1"/>
      <c r="D126" s="3"/>
      <c r="F126" s="1"/>
      <c r="G126" s="1"/>
      <c r="H126" s="1"/>
      <c r="I126" s="1"/>
      <c r="J126" s="1"/>
      <c r="K126" s="1"/>
      <c r="L126" s="1"/>
      <c r="M126" s="1"/>
    </row>
    <row r="127" spans="1:13" s="14" customFormat="1" x14ac:dyDescent="0.35">
      <c r="A127" s="1"/>
      <c r="B127" s="1"/>
      <c r="C127" s="1"/>
      <c r="D127" s="3"/>
      <c r="F127" s="1"/>
      <c r="G127" s="1"/>
      <c r="H127" s="1"/>
      <c r="I127" s="1"/>
      <c r="J127" s="1"/>
      <c r="K127" s="1"/>
      <c r="L127" s="1"/>
      <c r="M127" s="1"/>
    </row>
    <row r="128" spans="1:13" s="14" customFormat="1" x14ac:dyDescent="0.35">
      <c r="A128" s="1"/>
      <c r="B128" s="1"/>
      <c r="C128" s="1"/>
      <c r="D128" s="3"/>
      <c r="F128" s="1"/>
      <c r="G128" s="1"/>
      <c r="H128" s="1"/>
      <c r="I128" s="1"/>
      <c r="J128" s="1"/>
      <c r="K128" s="1"/>
      <c r="L128" s="1"/>
      <c r="M128" s="1"/>
    </row>
    <row r="129" spans="1:13" s="14" customFormat="1" x14ac:dyDescent="0.35">
      <c r="A129" s="1"/>
      <c r="B129" s="1"/>
      <c r="C129" s="1"/>
      <c r="D129" s="3"/>
      <c r="F129" s="1"/>
      <c r="G129" s="1"/>
      <c r="H129" s="1"/>
      <c r="I129" s="1"/>
      <c r="J129" s="1"/>
      <c r="K129" s="1"/>
      <c r="L129" s="1"/>
      <c r="M129" s="1"/>
    </row>
    <row r="130" spans="1:13" s="14" customFormat="1" x14ac:dyDescent="0.35">
      <c r="A130" s="1"/>
      <c r="B130" s="1"/>
      <c r="C130" s="1"/>
      <c r="D130" s="3"/>
      <c r="F130" s="1"/>
      <c r="G130" s="1"/>
      <c r="H130" s="1"/>
      <c r="I130" s="1"/>
      <c r="J130" s="1"/>
      <c r="K130" s="1"/>
      <c r="L130" s="1"/>
      <c r="M130" s="1"/>
    </row>
    <row r="131" spans="1:13" s="14" customFormat="1" x14ac:dyDescent="0.35">
      <c r="A131" s="1"/>
      <c r="B131" s="1"/>
      <c r="C131" s="1"/>
      <c r="D131" s="3"/>
      <c r="F131" s="1"/>
      <c r="G131" s="1"/>
      <c r="H131" s="1"/>
      <c r="I131" s="1"/>
      <c r="J131" s="1"/>
      <c r="K131" s="1"/>
      <c r="L131" s="1"/>
      <c r="M131" s="1"/>
    </row>
    <row r="132" spans="1:13" s="14" customFormat="1" x14ac:dyDescent="0.35">
      <c r="A132" s="1"/>
      <c r="B132" s="1"/>
      <c r="C132" s="1"/>
      <c r="D132" s="3"/>
      <c r="F132" s="1"/>
      <c r="G132" s="1"/>
      <c r="H132" s="1"/>
      <c r="I132" s="1"/>
      <c r="J132" s="1"/>
      <c r="K132" s="1"/>
      <c r="L132" s="1"/>
      <c r="M132" s="1"/>
    </row>
  </sheetData>
  <mergeCells count="1">
    <mergeCell ref="A1:E1"/>
  </mergeCells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rightToLeft="1" topLeftCell="A16" workbookViewId="0">
      <selection activeCell="D28" sqref="D28"/>
    </sheetView>
  </sheetViews>
  <sheetFormatPr defaultRowHeight="14" x14ac:dyDescent="0.3"/>
  <cols>
    <col min="1" max="1" width="19.75" customWidth="1"/>
    <col min="2" max="2" width="19.58203125" customWidth="1"/>
    <col min="3" max="3" width="18.08203125" customWidth="1"/>
    <col min="4" max="4" width="15" customWidth="1"/>
    <col min="5" max="5" width="11.75" customWidth="1"/>
    <col min="6" max="6" width="13.33203125" customWidth="1"/>
    <col min="7" max="7" width="12.83203125" customWidth="1"/>
  </cols>
  <sheetData>
    <row r="1" spans="1:10" ht="23" x14ac:dyDescent="0.5">
      <c r="A1" s="173" t="s">
        <v>27</v>
      </c>
      <c r="B1" s="173"/>
      <c r="C1" s="173"/>
    </row>
    <row r="2" spans="1:10" ht="15.5" x14ac:dyDescent="0.35">
      <c r="B2" s="10" t="s">
        <v>28</v>
      </c>
      <c r="C2" s="1"/>
      <c r="D2" s="3"/>
      <c r="G2" s="11" t="s">
        <v>0</v>
      </c>
      <c r="H2" s="1"/>
      <c r="I2" s="1"/>
      <c r="J2" s="1"/>
    </row>
    <row r="3" spans="1:10" ht="15.5" x14ac:dyDescent="0.35">
      <c r="A3" s="12" t="s">
        <v>29</v>
      </c>
      <c r="B3" s="13">
        <v>30000</v>
      </c>
      <c r="C3" s="1"/>
      <c r="D3" s="3"/>
      <c r="G3" s="14"/>
      <c r="H3" s="1"/>
      <c r="I3" s="1"/>
      <c r="J3" s="1"/>
    </row>
    <row r="4" spans="1:10" ht="15.5" x14ac:dyDescent="0.35">
      <c r="A4" s="1" t="s">
        <v>55</v>
      </c>
      <c r="B4" s="3">
        <v>-45000</v>
      </c>
      <c r="C4" s="1"/>
      <c r="D4" s="3"/>
      <c r="G4" s="14"/>
      <c r="H4" s="1"/>
      <c r="I4" s="1"/>
      <c r="J4" s="1"/>
    </row>
    <row r="5" spans="1:10" ht="15.5" x14ac:dyDescent="0.35">
      <c r="A5" s="1" t="s">
        <v>56</v>
      </c>
      <c r="B5" s="3">
        <v>15000</v>
      </c>
      <c r="C5" s="1" t="s">
        <v>57</v>
      </c>
      <c r="D5" s="3"/>
      <c r="G5" s="14"/>
      <c r="H5" s="1"/>
      <c r="I5" s="1"/>
      <c r="J5" s="1"/>
    </row>
    <row r="6" spans="1:10" ht="15.5" x14ac:dyDescent="0.35">
      <c r="A6" s="1" t="s">
        <v>94</v>
      </c>
      <c r="B6" s="3">
        <v>70000</v>
      </c>
      <c r="C6" s="68" t="s">
        <v>58</v>
      </c>
      <c r="D6" s="3"/>
      <c r="G6" s="14"/>
      <c r="H6" s="1"/>
      <c r="I6" s="1"/>
      <c r="J6" s="1"/>
    </row>
    <row r="7" spans="1:10" ht="15.5" x14ac:dyDescent="0.35">
      <c r="A7" s="1" t="s">
        <v>112</v>
      </c>
      <c r="B7" s="3">
        <v>-20000</v>
      </c>
      <c r="C7" s="68" t="s">
        <v>2</v>
      </c>
      <c r="D7" s="3"/>
      <c r="G7" s="14"/>
      <c r="H7" s="1"/>
      <c r="I7" s="1"/>
      <c r="J7" s="1"/>
    </row>
    <row r="8" spans="1:10" ht="15.5" x14ac:dyDescent="0.35">
      <c r="A8" s="85" t="s">
        <v>30</v>
      </c>
      <c r="B8" s="86">
        <v>50000</v>
      </c>
      <c r="C8" s="87"/>
      <c r="D8" s="86"/>
      <c r="E8" s="88"/>
      <c r="F8" s="88"/>
      <c r="G8" s="4">
        <v>2</v>
      </c>
      <c r="H8" s="1"/>
      <c r="I8" s="1"/>
      <c r="J8" s="1"/>
    </row>
    <row r="9" spans="1:10" ht="15.5" x14ac:dyDescent="0.35">
      <c r="A9" s="1"/>
      <c r="B9" s="3"/>
      <c r="C9" s="1"/>
      <c r="D9" s="3"/>
      <c r="G9" s="4"/>
      <c r="H9" s="1"/>
      <c r="I9" s="1"/>
      <c r="J9" s="1"/>
    </row>
    <row r="10" spans="1:10" ht="18.5" x14ac:dyDescent="0.65">
      <c r="A10" s="17"/>
      <c r="B10" s="18" t="s">
        <v>61</v>
      </c>
      <c r="C10" s="174" t="s">
        <v>62</v>
      </c>
      <c r="D10" s="174"/>
      <c r="G10" s="5"/>
      <c r="H10" s="10"/>
      <c r="I10" s="1"/>
      <c r="J10" s="1"/>
    </row>
    <row r="11" spans="1:10" ht="15.5" x14ac:dyDescent="0.35">
      <c r="A11" s="19" t="s">
        <v>29</v>
      </c>
      <c r="B11" s="20">
        <v>100000</v>
      </c>
      <c r="C11" s="19" t="s">
        <v>29</v>
      </c>
      <c r="D11" s="20">
        <v>40000</v>
      </c>
      <c r="F11" s="84"/>
      <c r="G11" s="4">
        <v>1</v>
      </c>
      <c r="H11" s="3"/>
      <c r="I11" s="1"/>
      <c r="J11" s="1"/>
    </row>
    <row r="12" spans="1:10" ht="15.5" x14ac:dyDescent="0.35">
      <c r="A12" s="17" t="s">
        <v>94</v>
      </c>
      <c r="B12" s="21">
        <v>20000</v>
      </c>
      <c r="C12" s="17"/>
      <c r="D12" s="21"/>
      <c r="G12" s="4"/>
      <c r="H12" s="3"/>
      <c r="I12" s="1"/>
      <c r="J12" s="1"/>
    </row>
    <row r="13" spans="1:10" ht="15.5" x14ac:dyDescent="0.35">
      <c r="A13" s="17"/>
      <c r="B13" s="21"/>
      <c r="C13" s="17"/>
      <c r="D13" s="21"/>
      <c r="G13" s="4"/>
      <c r="H13" s="3"/>
      <c r="I13" s="1"/>
      <c r="J13" s="1"/>
    </row>
    <row r="14" spans="1:10" ht="18.5" x14ac:dyDescent="0.65">
      <c r="A14" s="17"/>
      <c r="B14" s="22"/>
      <c r="C14" s="17" t="s">
        <v>31</v>
      </c>
      <c r="D14" s="23">
        <f>D15-D11-D13</f>
        <v>10000</v>
      </c>
      <c r="G14" s="4"/>
      <c r="H14" s="3"/>
      <c r="I14" s="1"/>
      <c r="J14" s="1"/>
    </row>
    <row r="15" spans="1:10" ht="15.5" x14ac:dyDescent="0.35">
      <c r="A15" s="19" t="s">
        <v>30</v>
      </c>
      <c r="B15" s="20">
        <v>120000</v>
      </c>
      <c r="C15" s="19" t="s">
        <v>30</v>
      </c>
      <c r="D15" s="24">
        <v>50000</v>
      </c>
      <c r="G15" s="4"/>
      <c r="H15" s="1"/>
      <c r="I15" s="1"/>
      <c r="J15" s="1"/>
    </row>
    <row r="16" spans="1:10" ht="15.5" x14ac:dyDescent="0.35">
      <c r="A16" s="19"/>
      <c r="B16" s="20"/>
      <c r="C16" s="25"/>
      <c r="D16" s="24"/>
      <c r="G16" s="4"/>
      <c r="H16" s="1"/>
      <c r="I16" s="1"/>
      <c r="J16" s="1"/>
    </row>
    <row r="17" spans="1:10" ht="15.5" x14ac:dyDescent="0.35">
      <c r="A17" s="19"/>
      <c r="B17" s="20"/>
      <c r="C17" s="25"/>
      <c r="D17" s="24"/>
      <c r="G17" s="4"/>
      <c r="H17" s="1"/>
      <c r="I17" s="1"/>
      <c r="J17" s="1"/>
    </row>
    <row r="18" spans="1:10" ht="15.5" x14ac:dyDescent="0.35">
      <c r="A18" s="19"/>
      <c r="B18" s="20"/>
      <c r="C18" s="25"/>
      <c r="D18" s="24"/>
      <c r="G18" s="4"/>
      <c r="H18" s="1"/>
      <c r="I18" s="1"/>
      <c r="J18" s="1"/>
    </row>
    <row r="19" spans="1:10" ht="15.5" x14ac:dyDescent="0.35">
      <c r="B19" s="2" t="s">
        <v>95</v>
      </c>
      <c r="C19" s="1"/>
      <c r="D19" s="1"/>
      <c r="G19" s="4"/>
      <c r="H19" s="1"/>
      <c r="I19" s="1"/>
      <c r="J19" s="1"/>
    </row>
    <row r="20" spans="1:10" ht="15.5" x14ac:dyDescent="0.35">
      <c r="A20" s="12" t="s">
        <v>29</v>
      </c>
      <c r="B20" s="13">
        <v>0</v>
      </c>
      <c r="C20" s="1"/>
      <c r="D20" s="1"/>
      <c r="G20" s="4"/>
      <c r="H20" s="1"/>
      <c r="I20" s="1"/>
      <c r="J20" s="1"/>
    </row>
    <row r="21" spans="1:10" ht="15.5" x14ac:dyDescent="0.35">
      <c r="A21" s="17" t="s">
        <v>88</v>
      </c>
      <c r="B21" s="21">
        <v>85000</v>
      </c>
      <c r="C21" s="1" t="s">
        <v>58</v>
      </c>
      <c r="D21" s="1"/>
      <c r="G21" s="4">
        <v>1</v>
      </c>
      <c r="H21" s="1"/>
      <c r="I21" s="1"/>
      <c r="J21" s="1"/>
    </row>
    <row r="22" spans="1:10" ht="15.5" x14ac:dyDescent="0.35">
      <c r="A22" s="14" t="s">
        <v>96</v>
      </c>
      <c r="B22" s="89">
        <v>30000</v>
      </c>
      <c r="C22" s="171" t="s">
        <v>2</v>
      </c>
      <c r="D22" s="14" t="s">
        <v>216</v>
      </c>
      <c r="E22" s="5"/>
      <c r="F22" s="5"/>
      <c r="G22" s="4">
        <v>1</v>
      </c>
      <c r="H22" s="1"/>
      <c r="I22" s="1"/>
      <c r="J22" s="1"/>
    </row>
    <row r="23" spans="1:10" ht="15.5" x14ac:dyDescent="0.35">
      <c r="A23" s="12" t="s">
        <v>30</v>
      </c>
      <c r="B23" s="13">
        <f>B20+B21+B22</f>
        <v>115000</v>
      </c>
      <c r="C23" s="1"/>
      <c r="D23" s="1"/>
      <c r="G23" s="4"/>
      <c r="H23" s="1"/>
      <c r="I23" s="1"/>
      <c r="J23" s="1"/>
    </row>
    <row r="24" spans="1:10" ht="15.5" x14ac:dyDescent="0.35">
      <c r="A24" s="12"/>
      <c r="B24" s="13"/>
      <c r="C24" s="1"/>
      <c r="D24" s="1"/>
      <c r="G24" s="4"/>
      <c r="H24" s="1"/>
      <c r="I24" s="1"/>
      <c r="J24" s="1"/>
    </row>
    <row r="25" spans="1:10" ht="18.5" x14ac:dyDescent="0.65">
      <c r="A25" s="12"/>
      <c r="B25" s="52" t="s">
        <v>100</v>
      </c>
      <c r="C25" s="90" t="s">
        <v>8</v>
      </c>
      <c r="D25" s="90" t="s">
        <v>101</v>
      </c>
      <c r="G25" s="4"/>
      <c r="H25" s="1"/>
      <c r="I25" s="1"/>
      <c r="J25" s="1"/>
    </row>
    <row r="26" spans="1:10" ht="15.5" x14ac:dyDescent="0.35">
      <c r="A26" s="12" t="s">
        <v>99</v>
      </c>
      <c r="B26" s="13">
        <v>0</v>
      </c>
      <c r="C26" s="12">
        <v>0</v>
      </c>
      <c r="D26" s="12">
        <v>0</v>
      </c>
      <c r="G26" s="4"/>
      <c r="H26" s="1"/>
      <c r="I26" s="1"/>
      <c r="J26" s="1"/>
    </row>
    <row r="27" spans="1:10" ht="15.5" x14ac:dyDescent="0.35">
      <c r="A27" s="12" t="s">
        <v>104</v>
      </c>
      <c r="B27" s="3">
        <v>100000</v>
      </c>
      <c r="C27" s="3">
        <v>15000</v>
      </c>
      <c r="D27" s="3">
        <f>B27+C27</f>
        <v>115000</v>
      </c>
      <c r="G27" s="4">
        <v>1</v>
      </c>
      <c r="H27" s="1"/>
      <c r="I27" s="1"/>
      <c r="J27" s="1"/>
    </row>
    <row r="28" spans="1:10" ht="18.5" x14ac:dyDescent="0.65">
      <c r="A28" s="12" t="s">
        <v>105</v>
      </c>
      <c r="B28" s="48">
        <v>0</v>
      </c>
      <c r="C28" s="48">
        <v>-3000</v>
      </c>
      <c r="D28" s="48">
        <f>B28+C28</f>
        <v>-3000</v>
      </c>
      <c r="G28" s="4"/>
      <c r="H28" s="1"/>
      <c r="I28" s="1"/>
      <c r="J28" s="1"/>
    </row>
    <row r="29" spans="1:10" ht="15.5" x14ac:dyDescent="0.35">
      <c r="A29" s="12" t="s">
        <v>103</v>
      </c>
      <c r="B29" s="13">
        <f>SUM(B26:B28)</f>
        <v>100000</v>
      </c>
      <c r="C29" s="13">
        <f t="shared" ref="C29:D29" si="0">SUM(C26:C28)</f>
        <v>12000</v>
      </c>
      <c r="D29" s="16">
        <f t="shared" si="0"/>
        <v>112000</v>
      </c>
      <c r="E29" s="14" t="s">
        <v>34</v>
      </c>
      <c r="F29" s="5"/>
      <c r="G29" s="4">
        <v>1</v>
      </c>
      <c r="H29" s="1"/>
      <c r="I29" s="1"/>
      <c r="J29" s="1"/>
    </row>
    <row r="30" spans="1:10" ht="15.5" x14ac:dyDescent="0.35">
      <c r="A30" s="12"/>
      <c r="B30" s="13"/>
      <c r="C30" s="1"/>
      <c r="D30" s="1"/>
      <c r="G30" s="4"/>
      <c r="H30" s="1"/>
      <c r="I30" s="1"/>
      <c r="J30" s="1"/>
    </row>
    <row r="31" spans="1:10" ht="15.5" x14ac:dyDescent="0.35">
      <c r="A31" s="15" t="s">
        <v>102</v>
      </c>
      <c r="B31" s="16"/>
      <c r="C31" s="14"/>
      <c r="D31" s="14"/>
      <c r="G31" s="4"/>
      <c r="H31" s="1"/>
      <c r="I31" s="1"/>
      <c r="J31" s="1"/>
    </row>
    <row r="32" spans="1:10" ht="15.5" x14ac:dyDescent="0.35">
      <c r="A32" s="1"/>
      <c r="B32" s="3"/>
      <c r="C32" s="1"/>
      <c r="D32" s="3"/>
      <c r="G32" s="4"/>
      <c r="H32" s="1"/>
      <c r="I32" s="1"/>
      <c r="J32" s="1"/>
    </row>
    <row r="33" spans="1:10" ht="15.5" x14ac:dyDescent="0.35">
      <c r="A33" s="28"/>
      <c r="B33" s="29" t="s">
        <v>32</v>
      </c>
      <c r="C33" s="30"/>
      <c r="D33" s="31" t="s">
        <v>33</v>
      </c>
      <c r="G33" s="4"/>
      <c r="H33" s="1"/>
      <c r="I33" s="1"/>
      <c r="J33" s="1"/>
    </row>
    <row r="34" spans="1:10" ht="15.5" x14ac:dyDescent="0.35">
      <c r="A34" s="32" t="s">
        <v>29</v>
      </c>
      <c r="B34" s="20">
        <v>70000</v>
      </c>
      <c r="C34" s="19" t="s">
        <v>29</v>
      </c>
      <c r="D34" s="33">
        <v>30000</v>
      </c>
      <c r="G34" s="4"/>
      <c r="H34" s="1"/>
      <c r="I34" s="1"/>
      <c r="J34" s="1"/>
    </row>
    <row r="35" spans="1:10" ht="18.5" x14ac:dyDescent="0.65">
      <c r="A35" s="34" t="s">
        <v>66</v>
      </c>
      <c r="B35" s="22">
        <v>10000</v>
      </c>
      <c r="C35" s="17"/>
      <c r="D35" s="35">
        <v>0</v>
      </c>
      <c r="G35" s="4"/>
      <c r="H35" s="1"/>
      <c r="I35" s="1"/>
      <c r="J35" s="1"/>
    </row>
    <row r="36" spans="1:10" ht="15.5" x14ac:dyDescent="0.35">
      <c r="A36" s="32" t="s">
        <v>30</v>
      </c>
      <c r="B36" s="24">
        <v>80000</v>
      </c>
      <c r="C36" s="19" t="s">
        <v>30</v>
      </c>
      <c r="D36" s="24">
        <v>30000</v>
      </c>
      <c r="E36" s="87"/>
      <c r="F36" s="88"/>
      <c r="G36" s="4">
        <v>1</v>
      </c>
      <c r="H36" s="1"/>
      <c r="I36" s="1"/>
      <c r="J36" s="1"/>
    </row>
    <row r="37" spans="1:10" ht="15.5" x14ac:dyDescent="0.35">
      <c r="C37" s="25"/>
      <c r="D37" s="36"/>
      <c r="G37" s="4"/>
      <c r="H37" s="1"/>
      <c r="I37" s="1"/>
      <c r="J37" s="1"/>
    </row>
    <row r="38" spans="1:10" ht="15.5" x14ac:dyDescent="0.35">
      <c r="A38" s="37"/>
      <c r="B38" s="38"/>
      <c r="C38" s="39"/>
      <c r="D38" s="40"/>
      <c r="G38" s="4"/>
      <c r="H38" s="1"/>
      <c r="I38" s="1"/>
      <c r="J38" s="1"/>
    </row>
    <row r="39" spans="1:10" ht="15.5" x14ac:dyDescent="0.35">
      <c r="A39" s="25"/>
      <c r="B39" s="25"/>
      <c r="C39" s="19"/>
      <c r="D39" s="20"/>
      <c r="G39" s="4"/>
      <c r="H39" s="1"/>
      <c r="I39" s="1"/>
      <c r="J39" s="1"/>
    </row>
    <row r="40" spans="1:10" ht="15.5" x14ac:dyDescent="0.35">
      <c r="A40" s="28"/>
      <c r="B40" s="29" t="s">
        <v>35</v>
      </c>
      <c r="C40" s="30"/>
      <c r="D40" s="31" t="s">
        <v>4</v>
      </c>
      <c r="G40" s="4"/>
      <c r="H40" s="1"/>
      <c r="I40" s="1"/>
      <c r="J40" s="1"/>
    </row>
    <row r="41" spans="1:10" ht="15.5" x14ac:dyDescent="0.35">
      <c r="A41" s="32" t="s">
        <v>29</v>
      </c>
      <c r="B41" s="20">
        <v>20000</v>
      </c>
      <c r="C41" s="19" t="s">
        <v>29</v>
      </c>
      <c r="D41" s="33">
        <v>148000</v>
      </c>
      <c r="G41" s="4"/>
      <c r="H41" s="1"/>
      <c r="I41" s="1"/>
      <c r="J41" s="1"/>
    </row>
    <row r="42" spans="1:10" ht="15.5" x14ac:dyDescent="0.35">
      <c r="A42" s="34" t="s">
        <v>36</v>
      </c>
      <c r="B42" s="21">
        <f>-B41</f>
        <v>-20000</v>
      </c>
      <c r="C42" s="17" t="s">
        <v>98</v>
      </c>
      <c r="D42" s="91">
        <f>D45-D41+D43-D44</f>
        <v>99000</v>
      </c>
      <c r="E42" s="14" t="s">
        <v>34</v>
      </c>
      <c r="F42" s="5"/>
      <c r="G42" s="4">
        <v>1</v>
      </c>
      <c r="H42" s="1"/>
      <c r="I42" s="1"/>
      <c r="J42" s="1"/>
    </row>
    <row r="43" spans="1:10" ht="18.5" x14ac:dyDescent="0.65">
      <c r="A43" s="34"/>
      <c r="B43" s="22">
        <v>0</v>
      </c>
      <c r="C43" s="17"/>
      <c r="D43" s="41"/>
      <c r="G43" s="4"/>
      <c r="H43" s="1"/>
      <c r="I43" s="1"/>
      <c r="J43" s="1"/>
    </row>
    <row r="44" spans="1:10" ht="18.5" x14ac:dyDescent="0.65">
      <c r="A44" s="32" t="s">
        <v>30</v>
      </c>
      <c r="B44" s="27">
        <v>0</v>
      </c>
      <c r="C44" s="17" t="s">
        <v>97</v>
      </c>
      <c r="D44" s="42">
        <v>-10000</v>
      </c>
      <c r="E44" s="14" t="s">
        <v>34</v>
      </c>
      <c r="F44" s="5"/>
      <c r="G44" s="4">
        <v>2</v>
      </c>
      <c r="H44" s="1"/>
      <c r="I44" s="1"/>
      <c r="J44" s="1"/>
    </row>
    <row r="45" spans="1:10" ht="15.5" x14ac:dyDescent="0.35">
      <c r="A45" s="43"/>
      <c r="B45" s="24"/>
      <c r="C45" s="19" t="s">
        <v>30</v>
      </c>
      <c r="D45" s="33">
        <v>237000</v>
      </c>
      <c r="G45" s="11"/>
      <c r="H45" s="1"/>
      <c r="I45" s="1"/>
      <c r="J45" s="1"/>
    </row>
    <row r="46" spans="1:10" ht="15.5" x14ac:dyDescent="0.35">
      <c r="A46" s="44"/>
      <c r="B46" s="45"/>
      <c r="C46" s="38"/>
      <c r="D46" s="46"/>
      <c r="F46" s="26" t="s">
        <v>37</v>
      </c>
      <c r="G46" s="4">
        <f>SUM(G3:G45)</f>
        <v>11</v>
      </c>
      <c r="H46" s="1"/>
      <c r="I46" s="1"/>
      <c r="J46" s="1"/>
    </row>
    <row r="47" spans="1:10" ht="15.5" x14ac:dyDescent="0.35">
      <c r="A47" s="1"/>
      <c r="B47" s="3"/>
      <c r="C47" s="1"/>
      <c r="D47" s="3"/>
      <c r="E47" s="1"/>
      <c r="F47" s="1"/>
      <c r="G47" s="1"/>
      <c r="H47" s="1"/>
      <c r="I47" s="1"/>
      <c r="J47" s="1"/>
    </row>
    <row r="48" spans="1:10" ht="15.5" x14ac:dyDescent="0.35">
      <c r="A48" s="1"/>
      <c r="B48" s="3"/>
      <c r="C48" s="1"/>
      <c r="D48" s="3"/>
      <c r="E48" s="1"/>
      <c r="F48" s="1"/>
      <c r="G48" s="1"/>
      <c r="H48" s="1"/>
      <c r="I48" s="1"/>
      <c r="J48" s="1"/>
    </row>
  </sheetData>
  <mergeCells count="2">
    <mergeCell ref="A1:C1"/>
    <mergeCell ref="C10:D10"/>
  </mergeCells>
  <pageMargins left="0.7" right="0.7" top="0.75" bottom="0.75" header="0.3" footer="0.3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1"/>
  <sheetViews>
    <sheetView rightToLeft="1" workbookViewId="0">
      <selection activeCell="A8" sqref="A8"/>
    </sheetView>
  </sheetViews>
  <sheetFormatPr defaultRowHeight="14" x14ac:dyDescent="0.3"/>
  <cols>
    <col min="3" max="3" width="11" customWidth="1"/>
    <col min="4" max="4" width="11.08203125" bestFit="1" customWidth="1"/>
    <col min="6" max="6" width="11.5" bestFit="1" customWidth="1"/>
  </cols>
  <sheetData>
    <row r="2" spans="1:13" ht="15.5" x14ac:dyDescent="0.35">
      <c r="A2" s="88"/>
      <c r="B2" s="88"/>
      <c r="C2" s="88"/>
      <c r="D2" s="92"/>
      <c r="E2" s="92"/>
      <c r="F2" s="92"/>
      <c r="G2" s="88"/>
      <c r="H2" s="88"/>
      <c r="I2" s="88"/>
      <c r="M2" s="4" t="s">
        <v>0</v>
      </c>
    </row>
    <row r="3" spans="1:13" ht="18" x14ac:dyDescent="0.4">
      <c r="A3" s="88"/>
      <c r="B3" s="93"/>
      <c r="C3" s="88"/>
      <c r="D3" s="94"/>
      <c r="E3" s="95"/>
      <c r="F3" s="94"/>
      <c r="G3" s="95"/>
      <c r="H3" s="88"/>
      <c r="I3" s="88"/>
      <c r="M3" s="4"/>
    </row>
    <row r="4" spans="1:13" ht="18" x14ac:dyDescent="0.4">
      <c r="A4" s="88"/>
      <c r="B4" s="93"/>
      <c r="C4" s="88"/>
      <c r="D4" s="96"/>
      <c r="E4" s="95"/>
      <c r="F4" s="96"/>
      <c r="G4" s="95"/>
      <c r="H4" s="88"/>
      <c r="I4" s="88"/>
      <c r="L4" s="1"/>
      <c r="M4" s="4"/>
    </row>
    <row r="5" spans="1:13" ht="18" x14ac:dyDescent="0.4">
      <c r="A5" s="105" t="s">
        <v>114</v>
      </c>
      <c r="B5" s="97"/>
      <c r="C5" s="98"/>
      <c r="D5" s="99"/>
      <c r="E5" s="100"/>
      <c r="F5" s="101"/>
      <c r="G5" s="100"/>
      <c r="H5" s="88"/>
      <c r="I5" s="88"/>
      <c r="L5" s="6"/>
      <c r="M5" s="4"/>
    </row>
    <row r="6" spans="1:13" ht="18" x14ac:dyDescent="0.4">
      <c r="A6" s="106" t="s">
        <v>113</v>
      </c>
      <c r="B6" s="93"/>
      <c r="C6" s="88"/>
      <c r="D6" s="95"/>
      <c r="E6" s="95"/>
      <c r="F6" s="94"/>
      <c r="G6" s="95"/>
      <c r="H6" s="88"/>
      <c r="I6" s="88"/>
      <c r="L6" s="6"/>
      <c r="M6" s="4"/>
    </row>
    <row r="7" spans="1:13" ht="18" x14ac:dyDescent="0.4">
      <c r="A7" s="106" t="s">
        <v>218</v>
      </c>
      <c r="B7" s="93"/>
      <c r="C7" s="88"/>
      <c r="D7" s="94"/>
      <c r="E7" s="95"/>
      <c r="F7" s="94"/>
      <c r="G7" s="95"/>
      <c r="H7" s="88"/>
      <c r="I7" s="88"/>
      <c r="L7" s="6"/>
      <c r="M7" s="4">
        <v>3</v>
      </c>
    </row>
    <row r="8" spans="1:13" ht="18" x14ac:dyDescent="0.4">
      <c r="A8" s="106" t="s">
        <v>116</v>
      </c>
      <c r="B8" s="93"/>
      <c r="C8" s="88"/>
      <c r="D8" s="95"/>
      <c r="E8" s="95"/>
      <c r="F8" s="99"/>
      <c r="G8" s="95"/>
      <c r="H8" s="88"/>
      <c r="I8" s="88"/>
      <c r="L8" s="6"/>
      <c r="M8" s="4"/>
    </row>
    <row r="9" spans="1:13" ht="18" x14ac:dyDescent="0.4">
      <c r="A9" s="88"/>
      <c r="B9" s="93"/>
      <c r="C9" s="88"/>
      <c r="D9" s="94"/>
      <c r="E9" s="95"/>
      <c r="F9" s="94"/>
      <c r="G9" s="95"/>
      <c r="H9" s="88"/>
      <c r="I9" s="88"/>
      <c r="L9" s="6"/>
      <c r="M9" s="4"/>
    </row>
    <row r="10" spans="1:13" ht="21" x14ac:dyDescent="0.7">
      <c r="A10" s="105" t="s">
        <v>115</v>
      </c>
      <c r="B10" s="88"/>
      <c r="C10" s="88"/>
      <c r="D10" s="102"/>
      <c r="E10" s="103"/>
      <c r="F10" s="96"/>
      <c r="G10" s="95"/>
      <c r="H10" s="88"/>
      <c r="I10" s="88"/>
      <c r="L10" s="6"/>
      <c r="M10" s="4"/>
    </row>
    <row r="11" spans="1:13" ht="18" x14ac:dyDescent="0.4">
      <c r="A11" s="106" t="s">
        <v>117</v>
      </c>
      <c r="B11" s="88"/>
      <c r="C11" s="88"/>
      <c r="D11" s="99"/>
      <c r="E11" s="95"/>
      <c r="F11" s="99"/>
      <c r="G11" s="95"/>
      <c r="H11" s="88"/>
      <c r="I11" s="88"/>
      <c r="L11" s="1"/>
      <c r="M11" s="4">
        <v>1</v>
      </c>
    </row>
    <row r="12" spans="1:13" ht="18" x14ac:dyDescent="0.4">
      <c r="A12" s="106" t="s">
        <v>118</v>
      </c>
      <c r="B12" s="88"/>
      <c r="C12" s="88"/>
      <c r="D12" s="88"/>
      <c r="E12" s="88"/>
      <c r="F12" s="88"/>
      <c r="G12" s="88"/>
      <c r="H12" s="88"/>
      <c r="I12" s="88"/>
      <c r="L12" s="1"/>
      <c r="M12" s="4">
        <v>1</v>
      </c>
    </row>
    <row r="13" spans="1:13" ht="18" x14ac:dyDescent="0.4">
      <c r="A13" s="106" t="s">
        <v>119</v>
      </c>
      <c r="B13" s="88"/>
      <c r="C13" s="88"/>
      <c r="D13" s="88"/>
      <c r="E13" s="92"/>
      <c r="F13" s="88"/>
      <c r="G13" s="88"/>
      <c r="H13" s="88"/>
      <c r="I13" s="88"/>
      <c r="L13" s="1"/>
      <c r="M13" s="4">
        <v>1</v>
      </c>
    </row>
    <row r="14" spans="1:13" ht="18" x14ac:dyDescent="0.4">
      <c r="A14" s="106" t="s">
        <v>120</v>
      </c>
      <c r="B14" s="88"/>
      <c r="C14" s="88"/>
      <c r="D14" s="88"/>
      <c r="E14" s="104"/>
      <c r="F14" s="88"/>
      <c r="G14" s="88"/>
      <c r="H14" s="88"/>
      <c r="I14" s="88"/>
      <c r="L14" s="1"/>
      <c r="M14" s="4">
        <v>1</v>
      </c>
    </row>
    <row r="15" spans="1:13" x14ac:dyDescent="0.3">
      <c r="A15" s="88"/>
      <c r="B15" s="88"/>
      <c r="C15" s="88"/>
      <c r="D15" s="88"/>
      <c r="E15" s="88"/>
      <c r="F15" s="88"/>
      <c r="G15" s="88"/>
      <c r="H15" s="88"/>
      <c r="I15" s="88"/>
      <c r="M15" s="5"/>
    </row>
    <row r="16" spans="1:13" x14ac:dyDescent="0.3">
      <c r="A16" s="88"/>
      <c r="B16" s="88"/>
      <c r="C16" s="88"/>
      <c r="D16" s="88"/>
      <c r="E16" s="88"/>
      <c r="F16" s="88"/>
      <c r="G16" s="88"/>
      <c r="H16" s="88"/>
      <c r="I16" s="88"/>
      <c r="M16" s="5"/>
    </row>
    <row r="17" spans="1:13" x14ac:dyDescent="0.3">
      <c r="M17" s="8"/>
    </row>
    <row r="18" spans="1:13" x14ac:dyDescent="0.3">
      <c r="A18" s="7"/>
      <c r="M18" s="8"/>
    </row>
    <row r="19" spans="1:13" x14ac:dyDescent="0.3">
      <c r="M19" s="9"/>
    </row>
    <row r="20" spans="1:13" x14ac:dyDescent="0.3">
      <c r="M20" s="5"/>
    </row>
    <row r="21" spans="1:13" ht="15.5" x14ac:dyDescent="0.35">
      <c r="L21" s="1" t="s">
        <v>1</v>
      </c>
      <c r="M21" s="4">
        <f>SUM(M7:M20)</f>
        <v>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rightToLeft="1" topLeftCell="A37" workbookViewId="0">
      <selection activeCell="M74" sqref="M74"/>
    </sheetView>
  </sheetViews>
  <sheetFormatPr defaultColWidth="8.58203125" defaultRowHeight="15.5" x14ac:dyDescent="0.35"/>
  <cols>
    <col min="1" max="1" width="15.08203125" style="71" customWidth="1"/>
    <col min="2" max="2" width="17.5" style="71" customWidth="1"/>
    <col min="3" max="3" width="10.33203125" style="71" customWidth="1"/>
    <col min="4" max="4" width="11.83203125" style="71" bestFit="1" customWidth="1"/>
    <col min="5" max="11" width="8.58203125" style="71"/>
    <col min="12" max="12" width="12.75" style="71" customWidth="1"/>
    <col min="13" max="16384" width="8.58203125" style="71"/>
  </cols>
  <sheetData>
    <row r="1" spans="1:13" x14ac:dyDescent="0.35">
      <c r="A1" s="71" t="s">
        <v>67</v>
      </c>
      <c r="M1" s="72" t="s">
        <v>0</v>
      </c>
    </row>
    <row r="2" spans="1:13" x14ac:dyDescent="0.35">
      <c r="M2" s="72"/>
    </row>
    <row r="3" spans="1:13" x14ac:dyDescent="0.35">
      <c r="A3" s="73" t="s">
        <v>68</v>
      </c>
      <c r="M3" s="72"/>
    </row>
    <row r="4" spans="1:13" x14ac:dyDescent="0.35">
      <c r="B4" s="74"/>
      <c r="C4" s="74"/>
      <c r="M4" s="72"/>
    </row>
    <row r="5" spans="1:13" x14ac:dyDescent="0.35">
      <c r="A5" s="71" t="s">
        <v>69</v>
      </c>
      <c r="M5" s="72"/>
    </row>
    <row r="6" spans="1:13" x14ac:dyDescent="0.35">
      <c r="C6" s="71" t="s">
        <v>121</v>
      </c>
      <c r="D6" s="71" t="s">
        <v>122</v>
      </c>
      <c r="M6" s="72"/>
    </row>
    <row r="7" spans="1:13" x14ac:dyDescent="0.35">
      <c r="M7" s="72"/>
    </row>
    <row r="8" spans="1:13" x14ac:dyDescent="0.35">
      <c r="A8" s="71" t="s">
        <v>123</v>
      </c>
      <c r="B8" s="71" t="s">
        <v>88</v>
      </c>
      <c r="C8" s="71">
        <v>20000</v>
      </c>
      <c r="M8" s="72"/>
    </row>
    <row r="9" spans="1:13" x14ac:dyDescent="0.35">
      <c r="B9" s="71" t="s">
        <v>124</v>
      </c>
      <c r="D9" s="71">
        <v>20000</v>
      </c>
      <c r="M9" s="72">
        <v>1</v>
      </c>
    </row>
    <row r="10" spans="1:13" x14ac:dyDescent="0.35">
      <c r="M10" s="72"/>
    </row>
    <row r="11" spans="1:13" x14ac:dyDescent="0.35">
      <c r="M11" s="72"/>
    </row>
    <row r="12" spans="1:13" x14ac:dyDescent="0.35">
      <c r="M12" s="72"/>
    </row>
    <row r="13" spans="1:13" x14ac:dyDescent="0.35">
      <c r="A13" s="71" t="s">
        <v>74</v>
      </c>
      <c r="D13" s="71" t="s">
        <v>125</v>
      </c>
      <c r="E13" s="71" t="s">
        <v>126</v>
      </c>
      <c r="M13" s="72"/>
    </row>
    <row r="14" spans="1:13" x14ac:dyDescent="0.35">
      <c r="B14" s="74" t="s">
        <v>128</v>
      </c>
      <c r="M14" s="72"/>
    </row>
    <row r="15" spans="1:13" x14ac:dyDescent="0.35">
      <c r="B15" s="71" t="s">
        <v>124</v>
      </c>
      <c r="D15" s="71">
        <v>20000</v>
      </c>
      <c r="M15" s="72">
        <v>1</v>
      </c>
    </row>
    <row r="16" spans="1:13" x14ac:dyDescent="0.35">
      <c r="B16" s="71" t="s">
        <v>73</v>
      </c>
      <c r="D16" s="107"/>
      <c r="E16" s="107">
        <v>72000</v>
      </c>
      <c r="M16" s="72">
        <v>1</v>
      </c>
    </row>
    <row r="17" spans="1:13" x14ac:dyDescent="0.35">
      <c r="B17" s="71" t="s">
        <v>127</v>
      </c>
      <c r="D17" s="71">
        <f>SUM(D15:D16)</f>
        <v>20000</v>
      </c>
      <c r="E17" s="71">
        <f>SUM(E15:E16)</f>
        <v>72000</v>
      </c>
      <c r="M17" s="72"/>
    </row>
    <row r="18" spans="1:13" x14ac:dyDescent="0.35">
      <c r="M18" s="72"/>
    </row>
    <row r="19" spans="1:13" x14ac:dyDescent="0.35">
      <c r="B19" s="74" t="s">
        <v>129</v>
      </c>
      <c r="M19" s="72"/>
    </row>
    <row r="20" spans="1:13" x14ac:dyDescent="0.35">
      <c r="B20" s="71" t="s">
        <v>72</v>
      </c>
      <c r="D20" s="107"/>
      <c r="E20" s="107">
        <v>-10000</v>
      </c>
      <c r="M20" s="72">
        <v>1</v>
      </c>
    </row>
    <row r="21" spans="1:13" x14ac:dyDescent="0.35">
      <c r="B21" s="71" t="s">
        <v>130</v>
      </c>
      <c r="D21" s="74">
        <f>SUM(D20)</f>
        <v>0</v>
      </c>
      <c r="E21" s="71">
        <f>SUM(E20)</f>
        <v>-10000</v>
      </c>
      <c r="M21" s="72"/>
    </row>
    <row r="22" spans="1:13" x14ac:dyDescent="0.35">
      <c r="M22" s="72"/>
    </row>
    <row r="23" spans="1:13" x14ac:dyDescent="0.35">
      <c r="M23" s="72"/>
    </row>
    <row r="24" spans="1:13" x14ac:dyDescent="0.35">
      <c r="A24" s="71" t="s">
        <v>131</v>
      </c>
      <c r="B24" s="71" t="s">
        <v>132</v>
      </c>
      <c r="D24" s="108" t="s">
        <v>123</v>
      </c>
      <c r="E24" s="108" t="s">
        <v>71</v>
      </c>
      <c r="M24" s="72"/>
    </row>
    <row r="25" spans="1:13" x14ac:dyDescent="0.35">
      <c r="B25" s="75"/>
      <c r="D25" s="71">
        <v>40000</v>
      </c>
      <c r="E25" s="71">
        <v>30000</v>
      </c>
      <c r="M25" s="72">
        <v>2</v>
      </c>
    </row>
    <row r="26" spans="1:13" x14ac:dyDescent="0.35">
      <c r="B26" s="76"/>
      <c r="M26" s="72"/>
    </row>
    <row r="27" spans="1:13" x14ac:dyDescent="0.35">
      <c r="M27" s="72"/>
    </row>
    <row r="28" spans="1:13" x14ac:dyDescent="0.35">
      <c r="M28" s="72"/>
    </row>
    <row r="29" spans="1:13" x14ac:dyDescent="0.35">
      <c r="A29" s="73" t="s">
        <v>75</v>
      </c>
      <c r="M29" s="72"/>
    </row>
    <row r="30" spans="1:13" x14ac:dyDescent="0.35">
      <c r="M30" s="72"/>
    </row>
    <row r="31" spans="1:13" x14ac:dyDescent="0.35">
      <c r="A31" s="77" t="s">
        <v>133</v>
      </c>
      <c r="M31" s="72">
        <v>4</v>
      </c>
    </row>
    <row r="32" spans="1:13" x14ac:dyDescent="0.35">
      <c r="A32" s="71" t="s">
        <v>134</v>
      </c>
      <c r="M32" s="72"/>
    </row>
    <row r="33" spans="1:13" x14ac:dyDescent="0.35">
      <c r="M33" s="72"/>
    </row>
    <row r="34" spans="1:13" x14ac:dyDescent="0.35">
      <c r="M34" s="72"/>
    </row>
    <row r="35" spans="1:13" x14ac:dyDescent="0.35">
      <c r="M35" s="72"/>
    </row>
    <row r="36" spans="1:13" x14ac:dyDescent="0.35">
      <c r="M36" s="72"/>
    </row>
    <row r="37" spans="1:13" x14ac:dyDescent="0.35">
      <c r="A37" s="73" t="s">
        <v>76</v>
      </c>
      <c r="M37" s="72"/>
    </row>
    <row r="38" spans="1:13" x14ac:dyDescent="0.35">
      <c r="A38" s="73"/>
      <c r="M38" s="72"/>
    </row>
    <row r="39" spans="1:13" x14ac:dyDescent="0.35">
      <c r="A39" s="73" t="s">
        <v>69</v>
      </c>
      <c r="M39" s="72"/>
    </row>
    <row r="40" spans="1:13" x14ac:dyDescent="0.35">
      <c r="B40" s="71" t="s">
        <v>84</v>
      </c>
      <c r="M40" s="72"/>
    </row>
    <row r="41" spans="1:13" x14ac:dyDescent="0.35">
      <c r="A41" s="71" t="s">
        <v>141</v>
      </c>
      <c r="M41" s="72"/>
    </row>
    <row r="42" spans="1:13" x14ac:dyDescent="0.35">
      <c r="M42" s="72"/>
    </row>
    <row r="43" spans="1:13" x14ac:dyDescent="0.35">
      <c r="D43" s="74" t="s">
        <v>77</v>
      </c>
      <c r="M43" s="72"/>
    </row>
    <row r="44" spans="1:13" x14ac:dyDescent="0.35">
      <c r="C44" s="71" t="s">
        <v>63</v>
      </c>
      <c r="D44" s="109">
        <f>D45+D46</f>
        <v>97500</v>
      </c>
      <c r="E44" s="83"/>
      <c r="F44" s="83"/>
      <c r="G44" s="83"/>
      <c r="H44" s="83"/>
      <c r="I44" s="83"/>
      <c r="J44" s="83"/>
      <c r="K44" s="83"/>
      <c r="L44" s="83"/>
      <c r="M44" s="72">
        <v>2</v>
      </c>
    </row>
    <row r="45" spans="1:13" x14ac:dyDescent="0.35">
      <c r="B45" s="71" t="s">
        <v>78</v>
      </c>
      <c r="D45" s="79">
        <f>200000*35%</f>
        <v>70000</v>
      </c>
      <c r="F45" s="71" t="s">
        <v>140</v>
      </c>
      <c r="M45" s="72"/>
    </row>
    <row r="46" spans="1:13" x14ac:dyDescent="0.35">
      <c r="C46" s="71" t="s">
        <v>79</v>
      </c>
      <c r="D46" s="78">
        <f>D53</f>
        <v>27500</v>
      </c>
      <c r="E46" s="71" t="s">
        <v>139</v>
      </c>
      <c r="M46" s="72"/>
    </row>
    <row r="47" spans="1:13" x14ac:dyDescent="0.35">
      <c r="M47" s="72"/>
    </row>
    <row r="48" spans="1:13" x14ac:dyDescent="0.35">
      <c r="A48" s="71" t="s">
        <v>80</v>
      </c>
      <c r="M48" s="72"/>
    </row>
    <row r="49" spans="1:13" x14ac:dyDescent="0.35">
      <c r="B49" s="74" t="s">
        <v>81</v>
      </c>
      <c r="C49" s="74" t="s">
        <v>1</v>
      </c>
      <c r="D49" s="74" t="s">
        <v>82</v>
      </c>
      <c r="E49" s="74" t="s">
        <v>83</v>
      </c>
      <c r="M49" s="72"/>
    </row>
    <row r="50" spans="1:13" x14ac:dyDescent="0.35">
      <c r="B50" s="71" t="s">
        <v>137</v>
      </c>
      <c r="C50" s="78">
        <v>40000</v>
      </c>
      <c r="D50" s="78">
        <f>C50*35%</f>
        <v>14000</v>
      </c>
      <c r="E50" s="78">
        <f>D50/4</f>
        <v>3500</v>
      </c>
      <c r="F50" s="71" t="s">
        <v>138</v>
      </c>
      <c r="M50" s="72"/>
    </row>
    <row r="51" spans="1:13" x14ac:dyDescent="0.35">
      <c r="B51" s="71" t="s">
        <v>135</v>
      </c>
      <c r="C51" s="78">
        <v>10000</v>
      </c>
      <c r="D51" s="78">
        <f>C51*35%</f>
        <v>3500</v>
      </c>
      <c r="E51" s="78">
        <f>D51/2</f>
        <v>1750</v>
      </c>
      <c r="F51" s="71" t="s">
        <v>85</v>
      </c>
      <c r="M51" s="72"/>
    </row>
    <row r="52" spans="1:13" x14ac:dyDescent="0.35">
      <c r="B52" s="71" t="s">
        <v>136</v>
      </c>
      <c r="C52" s="78"/>
      <c r="D52" s="80">
        <v>10000</v>
      </c>
      <c r="E52" s="71" t="s">
        <v>86</v>
      </c>
      <c r="M52" s="72">
        <v>2</v>
      </c>
    </row>
    <row r="53" spans="1:13" x14ac:dyDescent="0.35">
      <c r="C53" s="78"/>
      <c r="D53" s="78">
        <f>SUM(D50:D52)</f>
        <v>27500</v>
      </c>
      <c r="M53" s="72"/>
    </row>
    <row r="54" spans="1:13" x14ac:dyDescent="0.35">
      <c r="M54" s="72"/>
    </row>
    <row r="55" spans="1:13" x14ac:dyDescent="0.35">
      <c r="A55" s="74" t="s">
        <v>89</v>
      </c>
      <c r="M55" s="72"/>
    </row>
    <row r="56" spans="1:13" x14ac:dyDescent="0.35">
      <c r="A56" s="74" t="s">
        <v>6</v>
      </c>
      <c r="B56" s="74" t="s">
        <v>88</v>
      </c>
      <c r="C56" s="74" t="s">
        <v>142</v>
      </c>
      <c r="M56" s="72"/>
    </row>
    <row r="57" spans="1:13" x14ac:dyDescent="0.35">
      <c r="A57" s="71" t="s">
        <v>87</v>
      </c>
      <c r="B57" s="78">
        <f>D44</f>
        <v>97500</v>
      </c>
      <c r="C57" s="78">
        <v>200000</v>
      </c>
      <c r="M57" s="72"/>
    </row>
    <row r="58" spans="1:13" x14ac:dyDescent="0.35">
      <c r="A58" s="71" t="s">
        <v>143</v>
      </c>
      <c r="B58" s="78">
        <f>C58*35%</f>
        <v>-3500</v>
      </c>
      <c r="C58" s="78">
        <v>-10000</v>
      </c>
      <c r="M58" s="72"/>
    </row>
    <row r="59" spans="1:13" x14ac:dyDescent="0.35">
      <c r="A59" s="71" t="s">
        <v>90</v>
      </c>
      <c r="B59" s="78">
        <f>C59*45%</f>
        <v>0</v>
      </c>
      <c r="C59" s="78">
        <v>0</v>
      </c>
      <c r="M59" s="72"/>
    </row>
    <row r="60" spans="1:13" ht="18.5" x14ac:dyDescent="0.65">
      <c r="A60" s="71" t="s">
        <v>91</v>
      </c>
      <c r="B60" s="81">
        <f>-E50-E51</f>
        <v>-5250</v>
      </c>
      <c r="C60" s="81">
        <v>0</v>
      </c>
      <c r="F60" s="74" t="s">
        <v>93</v>
      </c>
      <c r="M60" s="72"/>
    </row>
    <row r="61" spans="1:13" x14ac:dyDescent="0.35">
      <c r="A61" s="71" t="s">
        <v>92</v>
      </c>
      <c r="B61" s="78">
        <f>SUM(B57:B60)</f>
        <v>88750</v>
      </c>
      <c r="C61" s="78">
        <f>SUM(C57:C60)</f>
        <v>190000</v>
      </c>
      <c r="F61" s="82">
        <f>C61*35%+D53-E50-E51</f>
        <v>88750</v>
      </c>
      <c r="M61" s="72">
        <v>4</v>
      </c>
    </row>
    <row r="62" spans="1:13" x14ac:dyDescent="0.35">
      <c r="B62" s="78"/>
      <c r="C62" s="78"/>
      <c r="M62" s="72"/>
    </row>
    <row r="63" spans="1:13" x14ac:dyDescent="0.35">
      <c r="B63" s="78"/>
      <c r="C63" s="78"/>
      <c r="M63" s="72"/>
    </row>
    <row r="64" spans="1:13" x14ac:dyDescent="0.35">
      <c r="A64" s="71" t="s">
        <v>131</v>
      </c>
      <c r="M64" s="72"/>
    </row>
    <row r="65" spans="1:13" x14ac:dyDescent="0.35">
      <c r="M65" s="72"/>
    </row>
    <row r="66" spans="1:13" x14ac:dyDescent="0.35">
      <c r="A66" s="71" t="s">
        <v>144</v>
      </c>
      <c r="M66" s="72"/>
    </row>
    <row r="67" spans="1:13" x14ac:dyDescent="0.35">
      <c r="A67" s="71" t="s">
        <v>145</v>
      </c>
      <c r="M67" s="72">
        <v>4</v>
      </c>
    </row>
    <row r="68" spans="1:13" x14ac:dyDescent="0.35">
      <c r="A68" s="71" t="s">
        <v>146</v>
      </c>
      <c r="M68" s="72"/>
    </row>
    <row r="69" spans="1:13" x14ac:dyDescent="0.35">
      <c r="M69" s="72"/>
    </row>
    <row r="70" spans="1:13" x14ac:dyDescent="0.35">
      <c r="M70" s="72"/>
    </row>
    <row r="71" spans="1:13" x14ac:dyDescent="0.35">
      <c r="M71" s="83"/>
    </row>
    <row r="72" spans="1:13" x14ac:dyDescent="0.35">
      <c r="M72" s="72"/>
    </row>
    <row r="73" spans="1:13" x14ac:dyDescent="0.35">
      <c r="M73" s="72"/>
    </row>
    <row r="74" spans="1:13" x14ac:dyDescent="0.35">
      <c r="L74" s="83" t="s">
        <v>1</v>
      </c>
      <c r="M74" s="72">
        <f>SUM(M2:M73)</f>
        <v>22</v>
      </c>
    </row>
    <row r="75" spans="1:13" x14ac:dyDescent="0.35">
      <c r="M75" s="72"/>
    </row>
    <row r="76" spans="1:13" x14ac:dyDescent="0.35">
      <c r="M76" s="72"/>
    </row>
    <row r="77" spans="1:13" x14ac:dyDescent="0.35">
      <c r="M77" s="72"/>
    </row>
    <row r="78" spans="1:13" x14ac:dyDescent="0.35">
      <c r="M78" s="72"/>
    </row>
    <row r="79" spans="1:13" x14ac:dyDescent="0.35">
      <c r="M79" s="72"/>
    </row>
    <row r="80" spans="1:13" x14ac:dyDescent="0.35">
      <c r="M80" s="72"/>
    </row>
    <row r="81" spans="13:13" x14ac:dyDescent="0.35">
      <c r="M81" s="72"/>
    </row>
    <row r="82" spans="13:13" x14ac:dyDescent="0.35">
      <c r="M82" s="72"/>
    </row>
    <row r="83" spans="13:13" x14ac:dyDescent="0.35">
      <c r="M83" s="72"/>
    </row>
    <row r="84" spans="13:13" x14ac:dyDescent="0.35">
      <c r="M84" s="72"/>
    </row>
    <row r="85" spans="13:13" x14ac:dyDescent="0.35">
      <c r="M85" s="72"/>
    </row>
    <row r="86" spans="13:13" x14ac:dyDescent="0.35">
      <c r="M86" s="72"/>
    </row>
    <row r="87" spans="13:13" x14ac:dyDescent="0.35">
      <c r="M87" s="72"/>
    </row>
    <row r="88" spans="13:13" x14ac:dyDescent="0.35">
      <c r="M88" s="7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rightToLeft="1" workbookViewId="0">
      <selection activeCell="A16" sqref="A16"/>
    </sheetView>
  </sheetViews>
  <sheetFormatPr defaultColWidth="9" defaultRowHeight="15.5" x14ac:dyDescent="0.35"/>
  <cols>
    <col min="1" max="1" width="32.25" style="71" customWidth="1"/>
    <col min="2" max="2" width="13.08203125" style="78" customWidth="1"/>
    <col min="3" max="3" width="12.83203125" style="71" customWidth="1"/>
    <col min="4" max="4" width="14.33203125" style="71" customWidth="1"/>
    <col min="5" max="5" width="8.58203125" style="110" customWidth="1"/>
    <col min="6" max="6" width="9" style="83"/>
    <col min="7" max="16384" width="9" style="71"/>
  </cols>
  <sheetData>
    <row r="1" spans="1:6" x14ac:dyDescent="0.35">
      <c r="F1" s="111" t="s">
        <v>0</v>
      </c>
    </row>
    <row r="2" spans="1:6" x14ac:dyDescent="0.35">
      <c r="A2" s="73" t="s">
        <v>26</v>
      </c>
      <c r="F2" s="111"/>
    </row>
    <row r="3" spans="1:6" s="112" customFormat="1" x14ac:dyDescent="0.35">
      <c r="A3" s="71"/>
      <c r="B3" s="78"/>
      <c r="C3" s="71"/>
      <c r="D3" s="71"/>
      <c r="F3" s="111"/>
    </row>
    <row r="4" spans="1:6" s="112" customFormat="1" x14ac:dyDescent="0.35">
      <c r="A4" s="71" t="s">
        <v>147</v>
      </c>
      <c r="B4" s="113"/>
      <c r="F4" s="111"/>
    </row>
    <row r="5" spans="1:6" x14ac:dyDescent="0.35">
      <c r="A5" s="71" t="s">
        <v>148</v>
      </c>
      <c r="B5" s="114">
        <v>380000</v>
      </c>
      <c r="E5" s="71"/>
      <c r="F5" s="111"/>
    </row>
    <row r="6" spans="1:6" x14ac:dyDescent="0.35">
      <c r="A6" s="71" t="s">
        <v>149</v>
      </c>
      <c r="E6" s="71"/>
      <c r="F6" s="111"/>
    </row>
    <row r="7" spans="1:6" x14ac:dyDescent="0.35">
      <c r="A7" s="71" t="s">
        <v>150</v>
      </c>
      <c r="B7" s="78">
        <v>22000</v>
      </c>
      <c r="E7" s="71"/>
      <c r="F7" s="111">
        <v>1</v>
      </c>
    </row>
    <row r="8" spans="1:6" x14ac:dyDescent="0.35">
      <c r="A8" s="71" t="s">
        <v>151</v>
      </c>
      <c r="B8" s="78">
        <f>10000*0.8</f>
        <v>8000</v>
      </c>
      <c r="D8" s="71" t="s">
        <v>152</v>
      </c>
      <c r="E8" s="71"/>
      <c r="F8" s="111">
        <v>1</v>
      </c>
    </row>
    <row r="9" spans="1:6" x14ac:dyDescent="0.35">
      <c r="A9" s="71" t="s">
        <v>153</v>
      </c>
      <c r="B9" s="78">
        <v>-20000</v>
      </c>
      <c r="E9" s="71"/>
      <c r="F9" s="111">
        <v>1</v>
      </c>
    </row>
    <row r="10" spans="1:6" x14ac:dyDescent="0.35">
      <c r="A10" s="71" t="s">
        <v>154</v>
      </c>
      <c r="E10" s="71"/>
    </row>
    <row r="11" spans="1:6" x14ac:dyDescent="0.35">
      <c r="A11" s="115" t="s">
        <v>155</v>
      </c>
      <c r="B11" s="116">
        <f>B13-B5-B7-B8-B9</f>
        <v>-20000</v>
      </c>
      <c r="C11" s="115" t="s">
        <v>2</v>
      </c>
      <c r="E11" s="71"/>
      <c r="F11" s="111">
        <v>2</v>
      </c>
    </row>
    <row r="12" spans="1:6" x14ac:dyDescent="0.35">
      <c r="E12" s="71"/>
      <c r="F12" s="111"/>
    </row>
    <row r="13" spans="1:6" x14ac:dyDescent="0.35">
      <c r="A13" s="117" t="s">
        <v>156</v>
      </c>
      <c r="B13" s="118">
        <f>B15/C14</f>
        <v>370000</v>
      </c>
      <c r="E13" s="71"/>
      <c r="F13" s="111">
        <v>1</v>
      </c>
    </row>
    <row r="14" spans="1:6" x14ac:dyDescent="0.35">
      <c r="C14" s="119">
        <v>0.21</v>
      </c>
      <c r="E14" s="71"/>
      <c r="F14" s="111"/>
    </row>
    <row r="15" spans="1:6" x14ac:dyDescent="0.35">
      <c r="A15" s="71" t="s">
        <v>213</v>
      </c>
      <c r="B15" s="78">
        <v>77700</v>
      </c>
      <c r="E15" s="71"/>
      <c r="F15" s="111"/>
    </row>
    <row r="16" spans="1:6" x14ac:dyDescent="0.35">
      <c r="E16" s="71"/>
      <c r="F16" s="111"/>
    </row>
    <row r="17" spans="1:6" x14ac:dyDescent="0.35">
      <c r="E17" s="71"/>
      <c r="F17" s="111"/>
    </row>
    <row r="18" spans="1:6" x14ac:dyDescent="0.35">
      <c r="A18" s="175" t="s">
        <v>157</v>
      </c>
      <c r="B18" s="175"/>
      <c r="C18" s="175"/>
      <c r="E18" s="71"/>
      <c r="F18" s="111"/>
    </row>
    <row r="19" spans="1:6" x14ac:dyDescent="0.35">
      <c r="B19" s="74" t="s">
        <v>158</v>
      </c>
      <c r="C19" s="120" t="s">
        <v>159</v>
      </c>
      <c r="E19" s="71"/>
      <c r="F19" s="111"/>
    </row>
    <row r="20" spans="1:6" x14ac:dyDescent="0.35">
      <c r="B20" s="78">
        <v>30000</v>
      </c>
      <c r="C20" s="109">
        <v>50000</v>
      </c>
      <c r="E20" s="71"/>
      <c r="F20" s="121">
        <v>2</v>
      </c>
    </row>
    <row r="21" spans="1:6" x14ac:dyDescent="0.35">
      <c r="B21" s="71" t="s">
        <v>58</v>
      </c>
      <c r="E21" s="71"/>
      <c r="F21" s="111"/>
    </row>
    <row r="22" spans="1:6" x14ac:dyDescent="0.35">
      <c r="A22" s="78" t="s">
        <v>160</v>
      </c>
      <c r="E22" s="117" t="s">
        <v>1</v>
      </c>
      <c r="F22" s="111">
        <f>SUM(F2:F21)</f>
        <v>8</v>
      </c>
    </row>
    <row r="23" spans="1:6" x14ac:dyDescent="0.35">
      <c r="A23" s="71" t="s">
        <v>161</v>
      </c>
      <c r="E23" s="71"/>
      <c r="F23" s="111"/>
    </row>
    <row r="24" spans="1:6" x14ac:dyDescent="0.35">
      <c r="A24" s="117" t="s">
        <v>212</v>
      </c>
      <c r="E24" s="71"/>
      <c r="F24" s="111"/>
    </row>
    <row r="25" spans="1:6" x14ac:dyDescent="0.35">
      <c r="E25" s="71"/>
      <c r="F25" s="111"/>
    </row>
    <row r="26" spans="1:6" x14ac:dyDescent="0.35">
      <c r="E26" s="71"/>
    </row>
    <row r="27" spans="1:6" x14ac:dyDescent="0.35">
      <c r="E27" s="71"/>
    </row>
    <row r="28" spans="1:6" x14ac:dyDescent="0.35">
      <c r="E28" s="71"/>
    </row>
    <row r="29" spans="1:6" x14ac:dyDescent="0.35">
      <c r="E29" s="71"/>
    </row>
    <row r="30" spans="1:6" x14ac:dyDescent="0.35">
      <c r="E30" s="71"/>
    </row>
    <row r="31" spans="1:6" x14ac:dyDescent="0.35">
      <c r="E31" s="71"/>
    </row>
    <row r="32" spans="1:6" x14ac:dyDescent="0.35">
      <c r="E32" s="71"/>
    </row>
    <row r="33" spans="5:5" x14ac:dyDescent="0.35">
      <c r="E33" s="71"/>
    </row>
    <row r="34" spans="5:5" x14ac:dyDescent="0.35">
      <c r="E34" s="71"/>
    </row>
    <row r="35" spans="5:5" x14ac:dyDescent="0.35">
      <c r="E35" s="71"/>
    </row>
    <row r="36" spans="5:5" x14ac:dyDescent="0.35">
      <c r="E36" s="71"/>
    </row>
    <row r="37" spans="5:5" x14ac:dyDescent="0.35">
      <c r="E37" s="71"/>
    </row>
  </sheetData>
  <mergeCells count="1">
    <mergeCell ref="A18:C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8"/>
  <sheetViews>
    <sheetView rightToLeft="1" topLeftCell="A10" workbookViewId="0">
      <selection activeCell="B36" sqref="B36:E36"/>
    </sheetView>
  </sheetViews>
  <sheetFormatPr defaultColWidth="8.58203125" defaultRowHeight="15.5" x14ac:dyDescent="0.35"/>
  <cols>
    <col min="1" max="1" width="21.83203125" style="71" customWidth="1"/>
    <col min="2" max="2" width="14.75" style="71" customWidth="1"/>
    <col min="3" max="4" width="8.58203125" style="71"/>
    <col min="5" max="5" width="17.25" style="71" customWidth="1"/>
    <col min="6" max="6" width="11.83203125" style="71" customWidth="1"/>
    <col min="7" max="7" width="8.58203125" style="150"/>
    <col min="8" max="16384" width="8.58203125" style="71"/>
  </cols>
  <sheetData>
    <row r="2" spans="1:7" x14ac:dyDescent="0.35">
      <c r="A2" s="176" t="s">
        <v>12</v>
      </c>
      <c r="B2" s="176"/>
      <c r="C2" s="176"/>
      <c r="D2" s="122"/>
      <c r="E2" s="122"/>
      <c r="F2" s="122"/>
      <c r="G2" s="123" t="s">
        <v>5</v>
      </c>
    </row>
    <row r="3" spans="1:7" x14ac:dyDescent="0.35">
      <c r="A3" s="124"/>
      <c r="B3" s="125"/>
      <c r="C3" s="124"/>
      <c r="D3" s="122"/>
      <c r="E3" s="122"/>
      <c r="F3" s="122"/>
      <c r="G3" s="123"/>
    </row>
    <row r="4" spans="1:7" x14ac:dyDescent="0.35">
      <c r="A4" s="73" t="s">
        <v>162</v>
      </c>
      <c r="G4" s="126"/>
    </row>
    <row r="5" spans="1:7" x14ac:dyDescent="0.35">
      <c r="A5" s="73"/>
      <c r="G5" s="126"/>
    </row>
    <row r="6" spans="1:7" x14ac:dyDescent="0.35">
      <c r="A6" s="71" t="s">
        <v>18</v>
      </c>
      <c r="B6" s="127">
        <f>B33</f>
        <v>100000</v>
      </c>
      <c r="E6" s="71" t="s">
        <v>163</v>
      </c>
      <c r="G6" s="128">
        <v>5</v>
      </c>
    </row>
    <row r="7" spans="1:7" x14ac:dyDescent="0.35">
      <c r="A7" s="71" t="s">
        <v>16</v>
      </c>
      <c r="B7" s="127">
        <v>100000</v>
      </c>
      <c r="E7" s="117" t="s">
        <v>164</v>
      </c>
      <c r="G7" s="126"/>
    </row>
    <row r="8" spans="1:7" x14ac:dyDescent="0.35">
      <c r="A8" s="73"/>
      <c r="E8" s="117" t="s">
        <v>165</v>
      </c>
      <c r="G8" s="126"/>
    </row>
    <row r="9" spans="1:7" x14ac:dyDescent="0.35">
      <c r="A9" s="71" t="s">
        <v>15</v>
      </c>
      <c r="B9" s="78">
        <v>48000</v>
      </c>
      <c r="G9" s="126"/>
    </row>
    <row r="10" spans="1:7" x14ac:dyDescent="0.35">
      <c r="A10" s="71" t="s">
        <v>166</v>
      </c>
      <c r="B10" s="78">
        <v>48000</v>
      </c>
      <c r="G10" s="129">
        <v>1</v>
      </c>
    </row>
    <row r="11" spans="1:7" x14ac:dyDescent="0.35">
      <c r="A11" s="73"/>
      <c r="G11" s="129"/>
    </row>
    <row r="12" spans="1:7" x14ac:dyDescent="0.35">
      <c r="A12" s="71" t="s">
        <v>15</v>
      </c>
      <c r="B12" s="130">
        <v>32000</v>
      </c>
      <c r="G12" s="129">
        <v>1</v>
      </c>
    </row>
    <row r="13" spans="1:7" x14ac:dyDescent="0.35">
      <c r="A13" s="71" t="s">
        <v>16</v>
      </c>
      <c r="B13" s="130">
        <v>20000</v>
      </c>
      <c r="G13" s="129"/>
    </row>
    <row r="14" spans="1:7" x14ac:dyDescent="0.35">
      <c r="A14" s="71" t="s">
        <v>17</v>
      </c>
      <c r="B14" s="130">
        <f>B12-B13</f>
        <v>12000</v>
      </c>
      <c r="G14" s="129"/>
    </row>
    <row r="15" spans="1:7" x14ac:dyDescent="0.35">
      <c r="B15" s="130"/>
      <c r="G15" s="129"/>
    </row>
    <row r="16" spans="1:7" x14ac:dyDescent="0.35">
      <c r="B16" s="130"/>
      <c r="E16" s="71" t="s">
        <v>167</v>
      </c>
      <c r="G16" s="129"/>
    </row>
    <row r="17" spans="1:7" x14ac:dyDescent="0.35">
      <c r="B17" s="130"/>
      <c r="G17" s="129"/>
    </row>
    <row r="18" spans="1:7" x14ac:dyDescent="0.35">
      <c r="A18" s="71" t="s">
        <v>15</v>
      </c>
      <c r="B18" s="130">
        <f>8400*6</f>
        <v>50400</v>
      </c>
      <c r="E18" s="71" t="s">
        <v>168</v>
      </c>
      <c r="G18" s="129"/>
    </row>
    <row r="19" spans="1:7" x14ac:dyDescent="0.35">
      <c r="A19" s="71" t="s">
        <v>19</v>
      </c>
      <c r="B19" s="130">
        <f>8400*4</f>
        <v>33600</v>
      </c>
      <c r="E19" s="71" t="s">
        <v>169</v>
      </c>
      <c r="G19" s="129">
        <v>2</v>
      </c>
    </row>
    <row r="20" spans="1:7" x14ac:dyDescent="0.35">
      <c r="A20" s="71" t="s">
        <v>20</v>
      </c>
      <c r="B20" s="130">
        <f>8400*2</f>
        <v>16800</v>
      </c>
      <c r="E20" s="71" t="s">
        <v>170</v>
      </c>
      <c r="G20" s="129"/>
    </row>
    <row r="21" spans="1:7" x14ac:dyDescent="0.35">
      <c r="A21" s="71" t="s">
        <v>21</v>
      </c>
      <c r="B21" s="130">
        <f>B18+B19-B20</f>
        <v>67200</v>
      </c>
      <c r="G21" s="129"/>
    </row>
    <row r="22" spans="1:7" x14ac:dyDescent="0.35">
      <c r="B22" s="130"/>
      <c r="G22" s="129"/>
    </row>
    <row r="23" spans="1:7" x14ac:dyDescent="0.35">
      <c r="A23" s="71" t="s">
        <v>22</v>
      </c>
      <c r="B23" s="130">
        <f>-D38</f>
        <v>70000</v>
      </c>
      <c r="G23" s="129">
        <v>1</v>
      </c>
    </row>
    <row r="24" spans="1:7" x14ac:dyDescent="0.35">
      <c r="A24" s="71" t="s">
        <v>171</v>
      </c>
      <c r="B24" s="130">
        <f>B23</f>
        <v>70000</v>
      </c>
      <c r="G24" s="129"/>
    </row>
    <row r="25" spans="1:7" x14ac:dyDescent="0.35">
      <c r="B25" s="130"/>
      <c r="G25" s="129"/>
    </row>
    <row r="26" spans="1:7" x14ac:dyDescent="0.35">
      <c r="A26" s="71" t="s">
        <v>19</v>
      </c>
      <c r="B26" s="130">
        <f>12000*0.3*4</f>
        <v>14400</v>
      </c>
      <c r="G26" s="129">
        <v>1</v>
      </c>
    </row>
    <row r="27" spans="1:7" x14ac:dyDescent="0.35">
      <c r="A27" s="71" t="s">
        <v>17</v>
      </c>
      <c r="B27" s="130">
        <f>12000*0.3*4</f>
        <v>14400</v>
      </c>
      <c r="G27" s="129"/>
    </row>
    <row r="28" spans="1:7" x14ac:dyDescent="0.35">
      <c r="A28" s="124"/>
      <c r="B28" s="130"/>
      <c r="C28" s="122"/>
      <c r="D28" s="122"/>
      <c r="E28" s="122"/>
      <c r="F28" s="122"/>
      <c r="G28" s="123"/>
    </row>
    <row r="29" spans="1:7" x14ac:dyDescent="0.35">
      <c r="A29" s="124" t="s">
        <v>13</v>
      </c>
      <c r="B29" s="122"/>
      <c r="C29" s="122"/>
      <c r="D29" s="122"/>
      <c r="E29" s="122"/>
      <c r="F29" s="122"/>
      <c r="G29" s="123"/>
    </row>
    <row r="30" spans="1:7" x14ac:dyDescent="0.35">
      <c r="A30" s="124"/>
      <c r="B30" s="122"/>
      <c r="C30" s="122"/>
      <c r="D30" s="122"/>
      <c r="E30" s="122"/>
      <c r="F30" s="122"/>
      <c r="G30" s="123"/>
    </row>
    <row r="31" spans="1:7" x14ac:dyDescent="0.35">
      <c r="A31" s="131" t="s">
        <v>6</v>
      </c>
      <c r="B31" s="131" t="s">
        <v>7</v>
      </c>
      <c r="C31" s="131" t="s">
        <v>8</v>
      </c>
      <c r="D31" s="131" t="s">
        <v>4</v>
      </c>
      <c r="E31" s="131" t="s">
        <v>9</v>
      </c>
      <c r="F31" s="131" t="s">
        <v>1</v>
      </c>
      <c r="G31" s="123"/>
    </row>
    <row r="32" spans="1:7" x14ac:dyDescent="0.35">
      <c r="A32" s="132" t="s">
        <v>172</v>
      </c>
      <c r="B32" s="133">
        <v>500000</v>
      </c>
      <c r="C32" s="134">
        <v>200000</v>
      </c>
      <c r="D32" s="134">
        <v>440000</v>
      </c>
      <c r="E32" s="134">
        <v>0</v>
      </c>
      <c r="F32" s="134">
        <f>SUM(B32:E32)</f>
        <v>1140000</v>
      </c>
      <c r="G32" s="123"/>
    </row>
    <row r="33" spans="1:7" x14ac:dyDescent="0.35">
      <c r="A33" s="135" t="s">
        <v>10</v>
      </c>
      <c r="B33" s="136">
        <f>B40-B35-B36-B32</f>
        <v>100000</v>
      </c>
      <c r="C33" s="136">
        <f>-B33</f>
        <v>-100000</v>
      </c>
      <c r="D33" s="136"/>
      <c r="E33" s="136"/>
      <c r="F33" s="136">
        <f>SUM(B33:E33)</f>
        <v>0</v>
      </c>
      <c r="G33" s="123">
        <v>1</v>
      </c>
    </row>
    <row r="34" spans="1:7" x14ac:dyDescent="0.35">
      <c r="A34" s="135" t="s">
        <v>173</v>
      </c>
      <c r="C34" s="134"/>
      <c r="D34" s="134"/>
      <c r="E34" s="137">
        <f>B9</f>
        <v>48000</v>
      </c>
      <c r="F34" s="138">
        <f>SUM(C34:E34)</f>
        <v>48000</v>
      </c>
      <c r="G34" s="123">
        <v>1</v>
      </c>
    </row>
    <row r="35" spans="1:7" x14ac:dyDescent="0.35">
      <c r="A35" s="122" t="s">
        <v>11</v>
      </c>
      <c r="B35" s="139">
        <f>B13</f>
        <v>20000</v>
      </c>
      <c r="C35" s="139">
        <f>F35-B35</f>
        <v>12000</v>
      </c>
      <c r="D35" s="139"/>
      <c r="E35" s="139"/>
      <c r="F35" s="139">
        <v>32000</v>
      </c>
      <c r="G35" s="123">
        <v>1</v>
      </c>
    </row>
    <row r="36" spans="1:7" x14ac:dyDescent="0.35">
      <c r="A36" s="140" t="s">
        <v>14</v>
      </c>
      <c r="B36" s="138">
        <f>B20</f>
        <v>16800</v>
      </c>
      <c r="C36" s="138">
        <f>B21</f>
        <v>67200</v>
      </c>
      <c r="D36" s="139"/>
      <c r="E36" s="139">
        <f>-B19</f>
        <v>-33600</v>
      </c>
      <c r="F36" s="139">
        <f>SUM(B36:E36)</f>
        <v>50400</v>
      </c>
      <c r="G36" s="123">
        <v>2</v>
      </c>
    </row>
    <row r="37" spans="1:7" x14ac:dyDescent="0.35">
      <c r="A37" s="135" t="s">
        <v>174</v>
      </c>
      <c r="B37" s="139"/>
      <c r="C37" s="139"/>
      <c r="D37" s="139">
        <v>-110000</v>
      </c>
      <c r="E37" s="139"/>
      <c r="F37" s="139">
        <f>SUM(B37:E37)</f>
        <v>-110000</v>
      </c>
      <c r="G37" s="123">
        <v>1</v>
      </c>
    </row>
    <row r="38" spans="1:7" s="141" customFormat="1" x14ac:dyDescent="0.35">
      <c r="A38" s="140" t="s">
        <v>175</v>
      </c>
      <c r="B38" s="138"/>
      <c r="C38" s="138"/>
      <c r="D38" s="138">
        <v>-70000</v>
      </c>
      <c r="E38" s="138"/>
      <c r="F38" s="138">
        <f>SUM(B38:E38)</f>
        <v>-70000</v>
      </c>
      <c r="G38" s="123">
        <v>1</v>
      </c>
    </row>
    <row r="39" spans="1:7" s="141" customFormat="1" ht="18.5" x14ac:dyDescent="0.65">
      <c r="A39" s="140" t="s">
        <v>176</v>
      </c>
      <c r="B39" s="142"/>
      <c r="C39" s="142">
        <f>B27</f>
        <v>14400</v>
      </c>
      <c r="D39" s="142"/>
      <c r="E39" s="142">
        <f>-B26</f>
        <v>-14400</v>
      </c>
      <c r="F39" s="142">
        <v>0</v>
      </c>
      <c r="G39" s="123">
        <v>1</v>
      </c>
    </row>
    <row r="40" spans="1:7" x14ac:dyDescent="0.35">
      <c r="A40" s="132" t="s">
        <v>177</v>
      </c>
      <c r="B40" s="70">
        <v>636800</v>
      </c>
      <c r="C40" s="70">
        <f>SUM(C32:C39)</f>
        <v>193600</v>
      </c>
      <c r="D40" s="70">
        <f>SUM(D32:D39)</f>
        <v>260000</v>
      </c>
      <c r="E40" s="70">
        <f>SUM(E32:E39)</f>
        <v>0</v>
      </c>
      <c r="F40" s="70">
        <f>SUM(F32:F39)</f>
        <v>1090400</v>
      </c>
      <c r="G40" s="123"/>
    </row>
    <row r="41" spans="1:7" x14ac:dyDescent="0.35">
      <c r="A41" s="143"/>
      <c r="B41" s="144"/>
      <c r="C41" s="145"/>
      <c r="D41" s="145"/>
      <c r="E41" s="145"/>
      <c r="F41" s="145"/>
      <c r="G41" s="123"/>
    </row>
    <row r="42" spans="1:7" s="149" customFormat="1" x14ac:dyDescent="0.35">
      <c r="A42" s="146" t="s">
        <v>24</v>
      </c>
      <c r="B42" s="147"/>
      <c r="C42" s="147"/>
      <c r="D42" s="147"/>
      <c r="E42" s="147"/>
      <c r="F42" s="147"/>
      <c r="G42" s="148"/>
    </row>
    <row r="44" spans="1:7" x14ac:dyDescent="0.35">
      <c r="A44" s="71" t="s">
        <v>210</v>
      </c>
    </row>
    <row r="45" spans="1:7" x14ac:dyDescent="0.35">
      <c r="A45" s="71" t="s">
        <v>211</v>
      </c>
      <c r="G45" s="151">
        <v>3</v>
      </c>
    </row>
    <row r="46" spans="1:7" x14ac:dyDescent="0.35">
      <c r="G46" s="129"/>
    </row>
    <row r="47" spans="1:7" x14ac:dyDescent="0.35">
      <c r="G47" s="152"/>
    </row>
    <row r="48" spans="1:7" x14ac:dyDescent="0.35">
      <c r="F48" s="71" t="s">
        <v>23</v>
      </c>
      <c r="G48" s="128">
        <f>SUM(G2:G46)</f>
        <v>22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6"/>
  <sheetViews>
    <sheetView rightToLeft="1" topLeftCell="B40" zoomScaleNormal="100" workbookViewId="0">
      <selection activeCell="I44" sqref="I44"/>
    </sheetView>
  </sheetViews>
  <sheetFormatPr defaultRowHeight="15.5" x14ac:dyDescent="0.35"/>
  <cols>
    <col min="1" max="1" width="2" style="153" customWidth="1"/>
    <col min="2" max="2" width="23.75" style="153" customWidth="1"/>
    <col min="3" max="3" width="13.08203125" style="153" customWidth="1"/>
    <col min="4" max="4" width="13.58203125" style="153" customWidth="1"/>
    <col min="5" max="5" width="14" style="153" bestFit="1" customWidth="1"/>
    <col min="6" max="6" width="12" style="153" bestFit="1" customWidth="1"/>
    <col min="7" max="7" width="11.58203125" style="153" bestFit="1" customWidth="1"/>
    <col min="8" max="8" width="11.83203125" style="153" customWidth="1"/>
    <col min="9" max="9" width="6.25" style="155" customWidth="1"/>
    <col min="10" max="256" width="9" style="153"/>
    <col min="257" max="257" width="2" style="153" customWidth="1"/>
    <col min="258" max="258" width="18.33203125" style="153" customWidth="1"/>
    <col min="259" max="259" width="10.25" style="153" customWidth="1"/>
    <col min="260" max="260" width="10.33203125" style="153" customWidth="1"/>
    <col min="261" max="261" width="11.08203125" style="153" customWidth="1"/>
    <col min="262" max="262" width="12.33203125" style="153" customWidth="1"/>
    <col min="263" max="263" width="9.75" style="153" customWidth="1"/>
    <col min="264" max="264" width="11.83203125" style="153" customWidth="1"/>
    <col min="265" max="265" width="6.25" style="153" customWidth="1"/>
    <col min="266" max="512" width="9" style="153"/>
    <col min="513" max="513" width="2" style="153" customWidth="1"/>
    <col min="514" max="514" width="18.33203125" style="153" customWidth="1"/>
    <col min="515" max="515" width="10.25" style="153" customWidth="1"/>
    <col min="516" max="516" width="10.33203125" style="153" customWidth="1"/>
    <col min="517" max="517" width="11.08203125" style="153" customWidth="1"/>
    <col min="518" max="518" width="12.33203125" style="153" customWidth="1"/>
    <col min="519" max="519" width="9.75" style="153" customWidth="1"/>
    <col min="520" max="520" width="11.83203125" style="153" customWidth="1"/>
    <col min="521" max="521" width="6.25" style="153" customWidth="1"/>
    <col min="522" max="768" width="9" style="153"/>
    <col min="769" max="769" width="2" style="153" customWidth="1"/>
    <col min="770" max="770" width="18.33203125" style="153" customWidth="1"/>
    <col min="771" max="771" width="10.25" style="153" customWidth="1"/>
    <col min="772" max="772" width="10.33203125" style="153" customWidth="1"/>
    <col min="773" max="773" width="11.08203125" style="153" customWidth="1"/>
    <col min="774" max="774" width="12.33203125" style="153" customWidth="1"/>
    <col min="775" max="775" width="9.75" style="153" customWidth="1"/>
    <col min="776" max="776" width="11.83203125" style="153" customWidth="1"/>
    <col min="777" max="777" width="6.25" style="153" customWidth="1"/>
    <col min="778" max="1024" width="9" style="153"/>
    <col min="1025" max="1025" width="2" style="153" customWidth="1"/>
    <col min="1026" max="1026" width="18.33203125" style="153" customWidth="1"/>
    <col min="1027" max="1027" width="10.25" style="153" customWidth="1"/>
    <col min="1028" max="1028" width="10.33203125" style="153" customWidth="1"/>
    <col min="1029" max="1029" width="11.08203125" style="153" customWidth="1"/>
    <col min="1030" max="1030" width="12.33203125" style="153" customWidth="1"/>
    <col min="1031" max="1031" width="9.75" style="153" customWidth="1"/>
    <col min="1032" max="1032" width="11.83203125" style="153" customWidth="1"/>
    <col min="1033" max="1033" width="6.25" style="153" customWidth="1"/>
    <col min="1034" max="1280" width="9" style="153"/>
    <col min="1281" max="1281" width="2" style="153" customWidth="1"/>
    <col min="1282" max="1282" width="18.33203125" style="153" customWidth="1"/>
    <col min="1283" max="1283" width="10.25" style="153" customWidth="1"/>
    <col min="1284" max="1284" width="10.33203125" style="153" customWidth="1"/>
    <col min="1285" max="1285" width="11.08203125" style="153" customWidth="1"/>
    <col min="1286" max="1286" width="12.33203125" style="153" customWidth="1"/>
    <col min="1287" max="1287" width="9.75" style="153" customWidth="1"/>
    <col min="1288" max="1288" width="11.83203125" style="153" customWidth="1"/>
    <col min="1289" max="1289" width="6.25" style="153" customWidth="1"/>
    <col min="1290" max="1536" width="9" style="153"/>
    <col min="1537" max="1537" width="2" style="153" customWidth="1"/>
    <col min="1538" max="1538" width="18.33203125" style="153" customWidth="1"/>
    <col min="1539" max="1539" width="10.25" style="153" customWidth="1"/>
    <col min="1540" max="1540" width="10.33203125" style="153" customWidth="1"/>
    <col min="1541" max="1541" width="11.08203125" style="153" customWidth="1"/>
    <col min="1542" max="1542" width="12.33203125" style="153" customWidth="1"/>
    <col min="1543" max="1543" width="9.75" style="153" customWidth="1"/>
    <col min="1544" max="1544" width="11.83203125" style="153" customWidth="1"/>
    <col min="1545" max="1545" width="6.25" style="153" customWidth="1"/>
    <col min="1546" max="1792" width="9" style="153"/>
    <col min="1793" max="1793" width="2" style="153" customWidth="1"/>
    <col min="1794" max="1794" width="18.33203125" style="153" customWidth="1"/>
    <col min="1795" max="1795" width="10.25" style="153" customWidth="1"/>
    <col min="1796" max="1796" width="10.33203125" style="153" customWidth="1"/>
    <col min="1797" max="1797" width="11.08203125" style="153" customWidth="1"/>
    <col min="1798" max="1798" width="12.33203125" style="153" customWidth="1"/>
    <col min="1799" max="1799" width="9.75" style="153" customWidth="1"/>
    <col min="1800" max="1800" width="11.83203125" style="153" customWidth="1"/>
    <col min="1801" max="1801" width="6.25" style="153" customWidth="1"/>
    <col min="1802" max="2048" width="9" style="153"/>
    <col min="2049" max="2049" width="2" style="153" customWidth="1"/>
    <col min="2050" max="2050" width="18.33203125" style="153" customWidth="1"/>
    <col min="2051" max="2051" width="10.25" style="153" customWidth="1"/>
    <col min="2052" max="2052" width="10.33203125" style="153" customWidth="1"/>
    <col min="2053" max="2053" width="11.08203125" style="153" customWidth="1"/>
    <col min="2054" max="2054" width="12.33203125" style="153" customWidth="1"/>
    <col min="2055" max="2055" width="9.75" style="153" customWidth="1"/>
    <col min="2056" max="2056" width="11.83203125" style="153" customWidth="1"/>
    <col min="2057" max="2057" width="6.25" style="153" customWidth="1"/>
    <col min="2058" max="2304" width="9" style="153"/>
    <col min="2305" max="2305" width="2" style="153" customWidth="1"/>
    <col min="2306" max="2306" width="18.33203125" style="153" customWidth="1"/>
    <col min="2307" max="2307" width="10.25" style="153" customWidth="1"/>
    <col min="2308" max="2308" width="10.33203125" style="153" customWidth="1"/>
    <col min="2309" max="2309" width="11.08203125" style="153" customWidth="1"/>
    <col min="2310" max="2310" width="12.33203125" style="153" customWidth="1"/>
    <col min="2311" max="2311" width="9.75" style="153" customWidth="1"/>
    <col min="2312" max="2312" width="11.83203125" style="153" customWidth="1"/>
    <col min="2313" max="2313" width="6.25" style="153" customWidth="1"/>
    <col min="2314" max="2560" width="9" style="153"/>
    <col min="2561" max="2561" width="2" style="153" customWidth="1"/>
    <col min="2562" max="2562" width="18.33203125" style="153" customWidth="1"/>
    <col min="2563" max="2563" width="10.25" style="153" customWidth="1"/>
    <col min="2564" max="2564" width="10.33203125" style="153" customWidth="1"/>
    <col min="2565" max="2565" width="11.08203125" style="153" customWidth="1"/>
    <col min="2566" max="2566" width="12.33203125" style="153" customWidth="1"/>
    <col min="2567" max="2567" width="9.75" style="153" customWidth="1"/>
    <col min="2568" max="2568" width="11.83203125" style="153" customWidth="1"/>
    <col min="2569" max="2569" width="6.25" style="153" customWidth="1"/>
    <col min="2570" max="2816" width="9" style="153"/>
    <col min="2817" max="2817" width="2" style="153" customWidth="1"/>
    <col min="2818" max="2818" width="18.33203125" style="153" customWidth="1"/>
    <col min="2819" max="2819" width="10.25" style="153" customWidth="1"/>
    <col min="2820" max="2820" width="10.33203125" style="153" customWidth="1"/>
    <col min="2821" max="2821" width="11.08203125" style="153" customWidth="1"/>
    <col min="2822" max="2822" width="12.33203125" style="153" customWidth="1"/>
    <col min="2823" max="2823" width="9.75" style="153" customWidth="1"/>
    <col min="2824" max="2824" width="11.83203125" style="153" customWidth="1"/>
    <col min="2825" max="2825" width="6.25" style="153" customWidth="1"/>
    <col min="2826" max="3072" width="9" style="153"/>
    <col min="3073" max="3073" width="2" style="153" customWidth="1"/>
    <col min="3074" max="3074" width="18.33203125" style="153" customWidth="1"/>
    <col min="3075" max="3075" width="10.25" style="153" customWidth="1"/>
    <col min="3076" max="3076" width="10.33203125" style="153" customWidth="1"/>
    <col min="3077" max="3077" width="11.08203125" style="153" customWidth="1"/>
    <col min="3078" max="3078" width="12.33203125" style="153" customWidth="1"/>
    <col min="3079" max="3079" width="9.75" style="153" customWidth="1"/>
    <col min="3080" max="3080" width="11.83203125" style="153" customWidth="1"/>
    <col min="3081" max="3081" width="6.25" style="153" customWidth="1"/>
    <col min="3082" max="3328" width="9" style="153"/>
    <col min="3329" max="3329" width="2" style="153" customWidth="1"/>
    <col min="3330" max="3330" width="18.33203125" style="153" customWidth="1"/>
    <col min="3331" max="3331" width="10.25" style="153" customWidth="1"/>
    <col min="3332" max="3332" width="10.33203125" style="153" customWidth="1"/>
    <col min="3333" max="3333" width="11.08203125" style="153" customWidth="1"/>
    <col min="3334" max="3334" width="12.33203125" style="153" customWidth="1"/>
    <col min="3335" max="3335" width="9.75" style="153" customWidth="1"/>
    <col min="3336" max="3336" width="11.83203125" style="153" customWidth="1"/>
    <col min="3337" max="3337" width="6.25" style="153" customWidth="1"/>
    <col min="3338" max="3584" width="9" style="153"/>
    <col min="3585" max="3585" width="2" style="153" customWidth="1"/>
    <col min="3586" max="3586" width="18.33203125" style="153" customWidth="1"/>
    <col min="3587" max="3587" width="10.25" style="153" customWidth="1"/>
    <col min="3588" max="3588" width="10.33203125" style="153" customWidth="1"/>
    <col min="3589" max="3589" width="11.08203125" style="153" customWidth="1"/>
    <col min="3590" max="3590" width="12.33203125" style="153" customWidth="1"/>
    <col min="3591" max="3591" width="9.75" style="153" customWidth="1"/>
    <col min="3592" max="3592" width="11.83203125" style="153" customWidth="1"/>
    <col min="3593" max="3593" width="6.25" style="153" customWidth="1"/>
    <col min="3594" max="3840" width="9" style="153"/>
    <col min="3841" max="3841" width="2" style="153" customWidth="1"/>
    <col min="3842" max="3842" width="18.33203125" style="153" customWidth="1"/>
    <col min="3843" max="3843" width="10.25" style="153" customWidth="1"/>
    <col min="3844" max="3844" width="10.33203125" style="153" customWidth="1"/>
    <col min="3845" max="3845" width="11.08203125" style="153" customWidth="1"/>
    <col min="3846" max="3846" width="12.33203125" style="153" customWidth="1"/>
    <col min="3847" max="3847" width="9.75" style="153" customWidth="1"/>
    <col min="3848" max="3848" width="11.83203125" style="153" customWidth="1"/>
    <col min="3849" max="3849" width="6.25" style="153" customWidth="1"/>
    <col min="3850" max="4096" width="9" style="153"/>
    <col min="4097" max="4097" width="2" style="153" customWidth="1"/>
    <col min="4098" max="4098" width="18.33203125" style="153" customWidth="1"/>
    <col min="4099" max="4099" width="10.25" style="153" customWidth="1"/>
    <col min="4100" max="4100" width="10.33203125" style="153" customWidth="1"/>
    <col min="4101" max="4101" width="11.08203125" style="153" customWidth="1"/>
    <col min="4102" max="4102" width="12.33203125" style="153" customWidth="1"/>
    <col min="4103" max="4103" width="9.75" style="153" customWidth="1"/>
    <col min="4104" max="4104" width="11.83203125" style="153" customWidth="1"/>
    <col min="4105" max="4105" width="6.25" style="153" customWidth="1"/>
    <col min="4106" max="4352" width="9" style="153"/>
    <col min="4353" max="4353" width="2" style="153" customWidth="1"/>
    <col min="4354" max="4354" width="18.33203125" style="153" customWidth="1"/>
    <col min="4355" max="4355" width="10.25" style="153" customWidth="1"/>
    <col min="4356" max="4356" width="10.33203125" style="153" customWidth="1"/>
    <col min="4357" max="4357" width="11.08203125" style="153" customWidth="1"/>
    <col min="4358" max="4358" width="12.33203125" style="153" customWidth="1"/>
    <col min="4359" max="4359" width="9.75" style="153" customWidth="1"/>
    <col min="4360" max="4360" width="11.83203125" style="153" customWidth="1"/>
    <col min="4361" max="4361" width="6.25" style="153" customWidth="1"/>
    <col min="4362" max="4608" width="9" style="153"/>
    <col min="4609" max="4609" width="2" style="153" customWidth="1"/>
    <col min="4610" max="4610" width="18.33203125" style="153" customWidth="1"/>
    <col min="4611" max="4611" width="10.25" style="153" customWidth="1"/>
    <col min="4612" max="4612" width="10.33203125" style="153" customWidth="1"/>
    <col min="4613" max="4613" width="11.08203125" style="153" customWidth="1"/>
    <col min="4614" max="4614" width="12.33203125" style="153" customWidth="1"/>
    <col min="4615" max="4615" width="9.75" style="153" customWidth="1"/>
    <col min="4616" max="4616" width="11.83203125" style="153" customWidth="1"/>
    <col min="4617" max="4617" width="6.25" style="153" customWidth="1"/>
    <col min="4618" max="4864" width="9" style="153"/>
    <col min="4865" max="4865" width="2" style="153" customWidth="1"/>
    <col min="4866" max="4866" width="18.33203125" style="153" customWidth="1"/>
    <col min="4867" max="4867" width="10.25" style="153" customWidth="1"/>
    <col min="4868" max="4868" width="10.33203125" style="153" customWidth="1"/>
    <col min="4869" max="4869" width="11.08203125" style="153" customWidth="1"/>
    <col min="4870" max="4870" width="12.33203125" style="153" customWidth="1"/>
    <col min="4871" max="4871" width="9.75" style="153" customWidth="1"/>
    <col min="4872" max="4872" width="11.83203125" style="153" customWidth="1"/>
    <col min="4873" max="4873" width="6.25" style="153" customWidth="1"/>
    <col min="4874" max="5120" width="9" style="153"/>
    <col min="5121" max="5121" width="2" style="153" customWidth="1"/>
    <col min="5122" max="5122" width="18.33203125" style="153" customWidth="1"/>
    <col min="5123" max="5123" width="10.25" style="153" customWidth="1"/>
    <col min="5124" max="5124" width="10.33203125" style="153" customWidth="1"/>
    <col min="5125" max="5125" width="11.08203125" style="153" customWidth="1"/>
    <col min="5126" max="5126" width="12.33203125" style="153" customWidth="1"/>
    <col min="5127" max="5127" width="9.75" style="153" customWidth="1"/>
    <col min="5128" max="5128" width="11.83203125" style="153" customWidth="1"/>
    <col min="5129" max="5129" width="6.25" style="153" customWidth="1"/>
    <col min="5130" max="5376" width="9" style="153"/>
    <col min="5377" max="5377" width="2" style="153" customWidth="1"/>
    <col min="5378" max="5378" width="18.33203125" style="153" customWidth="1"/>
    <col min="5379" max="5379" width="10.25" style="153" customWidth="1"/>
    <col min="5380" max="5380" width="10.33203125" style="153" customWidth="1"/>
    <col min="5381" max="5381" width="11.08203125" style="153" customWidth="1"/>
    <col min="5382" max="5382" width="12.33203125" style="153" customWidth="1"/>
    <col min="5383" max="5383" width="9.75" style="153" customWidth="1"/>
    <col min="5384" max="5384" width="11.83203125" style="153" customWidth="1"/>
    <col min="5385" max="5385" width="6.25" style="153" customWidth="1"/>
    <col min="5386" max="5632" width="9" style="153"/>
    <col min="5633" max="5633" width="2" style="153" customWidth="1"/>
    <col min="5634" max="5634" width="18.33203125" style="153" customWidth="1"/>
    <col min="5635" max="5635" width="10.25" style="153" customWidth="1"/>
    <col min="5636" max="5636" width="10.33203125" style="153" customWidth="1"/>
    <col min="5637" max="5637" width="11.08203125" style="153" customWidth="1"/>
    <col min="5638" max="5638" width="12.33203125" style="153" customWidth="1"/>
    <col min="5639" max="5639" width="9.75" style="153" customWidth="1"/>
    <col min="5640" max="5640" width="11.83203125" style="153" customWidth="1"/>
    <col min="5641" max="5641" width="6.25" style="153" customWidth="1"/>
    <col min="5642" max="5888" width="9" style="153"/>
    <col min="5889" max="5889" width="2" style="153" customWidth="1"/>
    <col min="5890" max="5890" width="18.33203125" style="153" customWidth="1"/>
    <col min="5891" max="5891" width="10.25" style="153" customWidth="1"/>
    <col min="5892" max="5892" width="10.33203125" style="153" customWidth="1"/>
    <col min="5893" max="5893" width="11.08203125" style="153" customWidth="1"/>
    <col min="5894" max="5894" width="12.33203125" style="153" customWidth="1"/>
    <col min="5895" max="5895" width="9.75" style="153" customWidth="1"/>
    <col min="5896" max="5896" width="11.83203125" style="153" customWidth="1"/>
    <col min="5897" max="5897" width="6.25" style="153" customWidth="1"/>
    <col min="5898" max="6144" width="9" style="153"/>
    <col min="6145" max="6145" width="2" style="153" customWidth="1"/>
    <col min="6146" max="6146" width="18.33203125" style="153" customWidth="1"/>
    <col min="6147" max="6147" width="10.25" style="153" customWidth="1"/>
    <col min="6148" max="6148" width="10.33203125" style="153" customWidth="1"/>
    <col min="6149" max="6149" width="11.08203125" style="153" customWidth="1"/>
    <col min="6150" max="6150" width="12.33203125" style="153" customWidth="1"/>
    <col min="6151" max="6151" width="9.75" style="153" customWidth="1"/>
    <col min="6152" max="6152" width="11.83203125" style="153" customWidth="1"/>
    <col min="6153" max="6153" width="6.25" style="153" customWidth="1"/>
    <col min="6154" max="6400" width="9" style="153"/>
    <col min="6401" max="6401" width="2" style="153" customWidth="1"/>
    <col min="6402" max="6402" width="18.33203125" style="153" customWidth="1"/>
    <col min="6403" max="6403" width="10.25" style="153" customWidth="1"/>
    <col min="6404" max="6404" width="10.33203125" style="153" customWidth="1"/>
    <col min="6405" max="6405" width="11.08203125" style="153" customWidth="1"/>
    <col min="6406" max="6406" width="12.33203125" style="153" customWidth="1"/>
    <col min="6407" max="6407" width="9.75" style="153" customWidth="1"/>
    <col min="6408" max="6408" width="11.83203125" style="153" customWidth="1"/>
    <col min="6409" max="6409" width="6.25" style="153" customWidth="1"/>
    <col min="6410" max="6656" width="9" style="153"/>
    <col min="6657" max="6657" width="2" style="153" customWidth="1"/>
    <col min="6658" max="6658" width="18.33203125" style="153" customWidth="1"/>
    <col min="6659" max="6659" width="10.25" style="153" customWidth="1"/>
    <col min="6660" max="6660" width="10.33203125" style="153" customWidth="1"/>
    <col min="6661" max="6661" width="11.08203125" style="153" customWidth="1"/>
    <col min="6662" max="6662" width="12.33203125" style="153" customWidth="1"/>
    <col min="6663" max="6663" width="9.75" style="153" customWidth="1"/>
    <col min="6664" max="6664" width="11.83203125" style="153" customWidth="1"/>
    <col min="6665" max="6665" width="6.25" style="153" customWidth="1"/>
    <col min="6666" max="6912" width="9" style="153"/>
    <col min="6913" max="6913" width="2" style="153" customWidth="1"/>
    <col min="6914" max="6914" width="18.33203125" style="153" customWidth="1"/>
    <col min="6915" max="6915" width="10.25" style="153" customWidth="1"/>
    <col min="6916" max="6916" width="10.33203125" style="153" customWidth="1"/>
    <col min="6917" max="6917" width="11.08203125" style="153" customWidth="1"/>
    <col min="6918" max="6918" width="12.33203125" style="153" customWidth="1"/>
    <col min="6919" max="6919" width="9.75" style="153" customWidth="1"/>
    <col min="6920" max="6920" width="11.83203125" style="153" customWidth="1"/>
    <col min="6921" max="6921" width="6.25" style="153" customWidth="1"/>
    <col min="6922" max="7168" width="9" style="153"/>
    <col min="7169" max="7169" width="2" style="153" customWidth="1"/>
    <col min="7170" max="7170" width="18.33203125" style="153" customWidth="1"/>
    <col min="7171" max="7171" width="10.25" style="153" customWidth="1"/>
    <col min="7172" max="7172" width="10.33203125" style="153" customWidth="1"/>
    <col min="7173" max="7173" width="11.08203125" style="153" customWidth="1"/>
    <col min="7174" max="7174" width="12.33203125" style="153" customWidth="1"/>
    <col min="7175" max="7175" width="9.75" style="153" customWidth="1"/>
    <col min="7176" max="7176" width="11.83203125" style="153" customWidth="1"/>
    <col min="7177" max="7177" width="6.25" style="153" customWidth="1"/>
    <col min="7178" max="7424" width="9" style="153"/>
    <col min="7425" max="7425" width="2" style="153" customWidth="1"/>
    <col min="7426" max="7426" width="18.33203125" style="153" customWidth="1"/>
    <col min="7427" max="7427" width="10.25" style="153" customWidth="1"/>
    <col min="7428" max="7428" width="10.33203125" style="153" customWidth="1"/>
    <col min="7429" max="7429" width="11.08203125" style="153" customWidth="1"/>
    <col min="7430" max="7430" width="12.33203125" style="153" customWidth="1"/>
    <col min="7431" max="7431" width="9.75" style="153" customWidth="1"/>
    <col min="7432" max="7432" width="11.83203125" style="153" customWidth="1"/>
    <col min="7433" max="7433" width="6.25" style="153" customWidth="1"/>
    <col min="7434" max="7680" width="9" style="153"/>
    <col min="7681" max="7681" width="2" style="153" customWidth="1"/>
    <col min="7682" max="7682" width="18.33203125" style="153" customWidth="1"/>
    <col min="7683" max="7683" width="10.25" style="153" customWidth="1"/>
    <col min="7684" max="7684" width="10.33203125" style="153" customWidth="1"/>
    <col min="7685" max="7685" width="11.08203125" style="153" customWidth="1"/>
    <col min="7686" max="7686" width="12.33203125" style="153" customWidth="1"/>
    <col min="7687" max="7687" width="9.75" style="153" customWidth="1"/>
    <col min="7688" max="7688" width="11.83203125" style="153" customWidth="1"/>
    <col min="7689" max="7689" width="6.25" style="153" customWidth="1"/>
    <col min="7690" max="7936" width="9" style="153"/>
    <col min="7937" max="7937" width="2" style="153" customWidth="1"/>
    <col min="7938" max="7938" width="18.33203125" style="153" customWidth="1"/>
    <col min="7939" max="7939" width="10.25" style="153" customWidth="1"/>
    <col min="7940" max="7940" width="10.33203125" style="153" customWidth="1"/>
    <col min="7941" max="7941" width="11.08203125" style="153" customWidth="1"/>
    <col min="7942" max="7942" width="12.33203125" style="153" customWidth="1"/>
    <col min="7943" max="7943" width="9.75" style="153" customWidth="1"/>
    <col min="7944" max="7944" width="11.83203125" style="153" customWidth="1"/>
    <col min="7945" max="7945" width="6.25" style="153" customWidth="1"/>
    <col min="7946" max="8192" width="9" style="153"/>
    <col min="8193" max="8193" width="2" style="153" customWidth="1"/>
    <col min="8194" max="8194" width="18.33203125" style="153" customWidth="1"/>
    <col min="8195" max="8195" width="10.25" style="153" customWidth="1"/>
    <col min="8196" max="8196" width="10.33203125" style="153" customWidth="1"/>
    <col min="8197" max="8197" width="11.08203125" style="153" customWidth="1"/>
    <col min="8198" max="8198" width="12.33203125" style="153" customWidth="1"/>
    <col min="8199" max="8199" width="9.75" style="153" customWidth="1"/>
    <col min="8200" max="8200" width="11.83203125" style="153" customWidth="1"/>
    <col min="8201" max="8201" width="6.25" style="153" customWidth="1"/>
    <col min="8202" max="8448" width="9" style="153"/>
    <col min="8449" max="8449" width="2" style="153" customWidth="1"/>
    <col min="8450" max="8450" width="18.33203125" style="153" customWidth="1"/>
    <col min="8451" max="8451" width="10.25" style="153" customWidth="1"/>
    <col min="8452" max="8452" width="10.33203125" style="153" customWidth="1"/>
    <col min="8453" max="8453" width="11.08203125" style="153" customWidth="1"/>
    <col min="8454" max="8454" width="12.33203125" style="153" customWidth="1"/>
    <col min="8455" max="8455" width="9.75" style="153" customWidth="1"/>
    <col min="8456" max="8456" width="11.83203125" style="153" customWidth="1"/>
    <col min="8457" max="8457" width="6.25" style="153" customWidth="1"/>
    <col min="8458" max="8704" width="9" style="153"/>
    <col min="8705" max="8705" width="2" style="153" customWidth="1"/>
    <col min="8706" max="8706" width="18.33203125" style="153" customWidth="1"/>
    <col min="8707" max="8707" width="10.25" style="153" customWidth="1"/>
    <col min="8708" max="8708" width="10.33203125" style="153" customWidth="1"/>
    <col min="8709" max="8709" width="11.08203125" style="153" customWidth="1"/>
    <col min="8710" max="8710" width="12.33203125" style="153" customWidth="1"/>
    <col min="8711" max="8711" width="9.75" style="153" customWidth="1"/>
    <col min="8712" max="8712" width="11.83203125" style="153" customWidth="1"/>
    <col min="8713" max="8713" width="6.25" style="153" customWidth="1"/>
    <col min="8714" max="8960" width="9" style="153"/>
    <col min="8961" max="8961" width="2" style="153" customWidth="1"/>
    <col min="8962" max="8962" width="18.33203125" style="153" customWidth="1"/>
    <col min="8963" max="8963" width="10.25" style="153" customWidth="1"/>
    <col min="8964" max="8964" width="10.33203125" style="153" customWidth="1"/>
    <col min="8965" max="8965" width="11.08203125" style="153" customWidth="1"/>
    <col min="8966" max="8966" width="12.33203125" style="153" customWidth="1"/>
    <col min="8967" max="8967" width="9.75" style="153" customWidth="1"/>
    <col min="8968" max="8968" width="11.83203125" style="153" customWidth="1"/>
    <col min="8969" max="8969" width="6.25" style="153" customWidth="1"/>
    <col min="8970" max="9216" width="9" style="153"/>
    <col min="9217" max="9217" width="2" style="153" customWidth="1"/>
    <col min="9218" max="9218" width="18.33203125" style="153" customWidth="1"/>
    <col min="9219" max="9219" width="10.25" style="153" customWidth="1"/>
    <col min="9220" max="9220" width="10.33203125" style="153" customWidth="1"/>
    <col min="9221" max="9221" width="11.08203125" style="153" customWidth="1"/>
    <col min="9222" max="9222" width="12.33203125" style="153" customWidth="1"/>
    <col min="9223" max="9223" width="9.75" style="153" customWidth="1"/>
    <col min="9224" max="9224" width="11.83203125" style="153" customWidth="1"/>
    <col min="9225" max="9225" width="6.25" style="153" customWidth="1"/>
    <col min="9226" max="9472" width="9" style="153"/>
    <col min="9473" max="9473" width="2" style="153" customWidth="1"/>
    <col min="9474" max="9474" width="18.33203125" style="153" customWidth="1"/>
    <col min="9475" max="9475" width="10.25" style="153" customWidth="1"/>
    <col min="9476" max="9476" width="10.33203125" style="153" customWidth="1"/>
    <col min="9477" max="9477" width="11.08203125" style="153" customWidth="1"/>
    <col min="9478" max="9478" width="12.33203125" style="153" customWidth="1"/>
    <col min="9479" max="9479" width="9.75" style="153" customWidth="1"/>
    <col min="9480" max="9480" width="11.83203125" style="153" customWidth="1"/>
    <col min="9481" max="9481" width="6.25" style="153" customWidth="1"/>
    <col min="9482" max="9728" width="9" style="153"/>
    <col min="9729" max="9729" width="2" style="153" customWidth="1"/>
    <col min="9730" max="9730" width="18.33203125" style="153" customWidth="1"/>
    <col min="9731" max="9731" width="10.25" style="153" customWidth="1"/>
    <col min="9732" max="9732" width="10.33203125" style="153" customWidth="1"/>
    <col min="9733" max="9733" width="11.08203125" style="153" customWidth="1"/>
    <col min="9734" max="9734" width="12.33203125" style="153" customWidth="1"/>
    <col min="9735" max="9735" width="9.75" style="153" customWidth="1"/>
    <col min="9736" max="9736" width="11.83203125" style="153" customWidth="1"/>
    <col min="9737" max="9737" width="6.25" style="153" customWidth="1"/>
    <col min="9738" max="9984" width="9" style="153"/>
    <col min="9985" max="9985" width="2" style="153" customWidth="1"/>
    <col min="9986" max="9986" width="18.33203125" style="153" customWidth="1"/>
    <col min="9987" max="9987" width="10.25" style="153" customWidth="1"/>
    <col min="9988" max="9988" width="10.33203125" style="153" customWidth="1"/>
    <col min="9989" max="9989" width="11.08203125" style="153" customWidth="1"/>
    <col min="9990" max="9990" width="12.33203125" style="153" customWidth="1"/>
    <col min="9991" max="9991" width="9.75" style="153" customWidth="1"/>
    <col min="9992" max="9992" width="11.83203125" style="153" customWidth="1"/>
    <col min="9993" max="9993" width="6.25" style="153" customWidth="1"/>
    <col min="9994" max="10240" width="9" style="153"/>
    <col min="10241" max="10241" width="2" style="153" customWidth="1"/>
    <col min="10242" max="10242" width="18.33203125" style="153" customWidth="1"/>
    <col min="10243" max="10243" width="10.25" style="153" customWidth="1"/>
    <col min="10244" max="10244" width="10.33203125" style="153" customWidth="1"/>
    <col min="10245" max="10245" width="11.08203125" style="153" customWidth="1"/>
    <col min="10246" max="10246" width="12.33203125" style="153" customWidth="1"/>
    <col min="10247" max="10247" width="9.75" style="153" customWidth="1"/>
    <col min="10248" max="10248" width="11.83203125" style="153" customWidth="1"/>
    <col min="10249" max="10249" width="6.25" style="153" customWidth="1"/>
    <col min="10250" max="10496" width="9" style="153"/>
    <col min="10497" max="10497" width="2" style="153" customWidth="1"/>
    <col min="10498" max="10498" width="18.33203125" style="153" customWidth="1"/>
    <col min="10499" max="10499" width="10.25" style="153" customWidth="1"/>
    <col min="10500" max="10500" width="10.33203125" style="153" customWidth="1"/>
    <col min="10501" max="10501" width="11.08203125" style="153" customWidth="1"/>
    <col min="10502" max="10502" width="12.33203125" style="153" customWidth="1"/>
    <col min="10503" max="10503" width="9.75" style="153" customWidth="1"/>
    <col min="10504" max="10504" width="11.83203125" style="153" customWidth="1"/>
    <col min="10505" max="10505" width="6.25" style="153" customWidth="1"/>
    <col min="10506" max="10752" width="9" style="153"/>
    <col min="10753" max="10753" width="2" style="153" customWidth="1"/>
    <col min="10754" max="10754" width="18.33203125" style="153" customWidth="1"/>
    <col min="10755" max="10755" width="10.25" style="153" customWidth="1"/>
    <col min="10756" max="10756" width="10.33203125" style="153" customWidth="1"/>
    <col min="10757" max="10757" width="11.08203125" style="153" customWidth="1"/>
    <col min="10758" max="10758" width="12.33203125" style="153" customWidth="1"/>
    <col min="10759" max="10759" width="9.75" style="153" customWidth="1"/>
    <col min="10760" max="10760" width="11.83203125" style="153" customWidth="1"/>
    <col min="10761" max="10761" width="6.25" style="153" customWidth="1"/>
    <col min="10762" max="11008" width="9" style="153"/>
    <col min="11009" max="11009" width="2" style="153" customWidth="1"/>
    <col min="11010" max="11010" width="18.33203125" style="153" customWidth="1"/>
    <col min="11011" max="11011" width="10.25" style="153" customWidth="1"/>
    <col min="11012" max="11012" width="10.33203125" style="153" customWidth="1"/>
    <col min="11013" max="11013" width="11.08203125" style="153" customWidth="1"/>
    <col min="11014" max="11014" width="12.33203125" style="153" customWidth="1"/>
    <col min="11015" max="11015" width="9.75" style="153" customWidth="1"/>
    <col min="11016" max="11016" width="11.83203125" style="153" customWidth="1"/>
    <col min="11017" max="11017" width="6.25" style="153" customWidth="1"/>
    <col min="11018" max="11264" width="9" style="153"/>
    <col min="11265" max="11265" width="2" style="153" customWidth="1"/>
    <col min="11266" max="11266" width="18.33203125" style="153" customWidth="1"/>
    <col min="11267" max="11267" width="10.25" style="153" customWidth="1"/>
    <col min="11268" max="11268" width="10.33203125" style="153" customWidth="1"/>
    <col min="11269" max="11269" width="11.08203125" style="153" customWidth="1"/>
    <col min="11270" max="11270" width="12.33203125" style="153" customWidth="1"/>
    <col min="11271" max="11271" width="9.75" style="153" customWidth="1"/>
    <col min="11272" max="11272" width="11.83203125" style="153" customWidth="1"/>
    <col min="11273" max="11273" width="6.25" style="153" customWidth="1"/>
    <col min="11274" max="11520" width="9" style="153"/>
    <col min="11521" max="11521" width="2" style="153" customWidth="1"/>
    <col min="11522" max="11522" width="18.33203125" style="153" customWidth="1"/>
    <col min="11523" max="11523" width="10.25" style="153" customWidth="1"/>
    <col min="11524" max="11524" width="10.33203125" style="153" customWidth="1"/>
    <col min="11525" max="11525" width="11.08203125" style="153" customWidth="1"/>
    <col min="11526" max="11526" width="12.33203125" style="153" customWidth="1"/>
    <col min="11527" max="11527" width="9.75" style="153" customWidth="1"/>
    <col min="11528" max="11528" width="11.83203125" style="153" customWidth="1"/>
    <col min="11529" max="11529" width="6.25" style="153" customWidth="1"/>
    <col min="11530" max="11776" width="9" style="153"/>
    <col min="11777" max="11777" width="2" style="153" customWidth="1"/>
    <col min="11778" max="11778" width="18.33203125" style="153" customWidth="1"/>
    <col min="11779" max="11779" width="10.25" style="153" customWidth="1"/>
    <col min="11780" max="11780" width="10.33203125" style="153" customWidth="1"/>
    <col min="11781" max="11781" width="11.08203125" style="153" customWidth="1"/>
    <col min="11782" max="11782" width="12.33203125" style="153" customWidth="1"/>
    <col min="11783" max="11783" width="9.75" style="153" customWidth="1"/>
    <col min="11784" max="11784" width="11.83203125" style="153" customWidth="1"/>
    <col min="11785" max="11785" width="6.25" style="153" customWidth="1"/>
    <col min="11786" max="12032" width="9" style="153"/>
    <col min="12033" max="12033" width="2" style="153" customWidth="1"/>
    <col min="12034" max="12034" width="18.33203125" style="153" customWidth="1"/>
    <col min="12035" max="12035" width="10.25" style="153" customWidth="1"/>
    <col min="12036" max="12036" width="10.33203125" style="153" customWidth="1"/>
    <col min="12037" max="12037" width="11.08203125" style="153" customWidth="1"/>
    <col min="12038" max="12038" width="12.33203125" style="153" customWidth="1"/>
    <col min="12039" max="12039" width="9.75" style="153" customWidth="1"/>
    <col min="12040" max="12040" width="11.83203125" style="153" customWidth="1"/>
    <col min="12041" max="12041" width="6.25" style="153" customWidth="1"/>
    <col min="12042" max="12288" width="9" style="153"/>
    <col min="12289" max="12289" width="2" style="153" customWidth="1"/>
    <col min="12290" max="12290" width="18.33203125" style="153" customWidth="1"/>
    <col min="12291" max="12291" width="10.25" style="153" customWidth="1"/>
    <col min="12292" max="12292" width="10.33203125" style="153" customWidth="1"/>
    <col min="12293" max="12293" width="11.08203125" style="153" customWidth="1"/>
    <col min="12294" max="12294" width="12.33203125" style="153" customWidth="1"/>
    <col min="12295" max="12295" width="9.75" style="153" customWidth="1"/>
    <col min="12296" max="12296" width="11.83203125" style="153" customWidth="1"/>
    <col min="12297" max="12297" width="6.25" style="153" customWidth="1"/>
    <col min="12298" max="12544" width="9" style="153"/>
    <col min="12545" max="12545" width="2" style="153" customWidth="1"/>
    <col min="12546" max="12546" width="18.33203125" style="153" customWidth="1"/>
    <col min="12547" max="12547" width="10.25" style="153" customWidth="1"/>
    <col min="12548" max="12548" width="10.33203125" style="153" customWidth="1"/>
    <col min="12549" max="12549" width="11.08203125" style="153" customWidth="1"/>
    <col min="12550" max="12550" width="12.33203125" style="153" customWidth="1"/>
    <col min="12551" max="12551" width="9.75" style="153" customWidth="1"/>
    <col min="12552" max="12552" width="11.83203125" style="153" customWidth="1"/>
    <col min="12553" max="12553" width="6.25" style="153" customWidth="1"/>
    <col min="12554" max="12800" width="9" style="153"/>
    <col min="12801" max="12801" width="2" style="153" customWidth="1"/>
    <col min="12802" max="12802" width="18.33203125" style="153" customWidth="1"/>
    <col min="12803" max="12803" width="10.25" style="153" customWidth="1"/>
    <col min="12804" max="12804" width="10.33203125" style="153" customWidth="1"/>
    <col min="12805" max="12805" width="11.08203125" style="153" customWidth="1"/>
    <col min="12806" max="12806" width="12.33203125" style="153" customWidth="1"/>
    <col min="12807" max="12807" width="9.75" style="153" customWidth="1"/>
    <col min="12808" max="12808" width="11.83203125" style="153" customWidth="1"/>
    <col min="12809" max="12809" width="6.25" style="153" customWidth="1"/>
    <col min="12810" max="13056" width="9" style="153"/>
    <col min="13057" max="13057" width="2" style="153" customWidth="1"/>
    <col min="13058" max="13058" width="18.33203125" style="153" customWidth="1"/>
    <col min="13059" max="13059" width="10.25" style="153" customWidth="1"/>
    <col min="13060" max="13060" width="10.33203125" style="153" customWidth="1"/>
    <col min="13061" max="13061" width="11.08203125" style="153" customWidth="1"/>
    <col min="13062" max="13062" width="12.33203125" style="153" customWidth="1"/>
    <col min="13063" max="13063" width="9.75" style="153" customWidth="1"/>
    <col min="13064" max="13064" width="11.83203125" style="153" customWidth="1"/>
    <col min="13065" max="13065" width="6.25" style="153" customWidth="1"/>
    <col min="13066" max="13312" width="9" style="153"/>
    <col min="13313" max="13313" width="2" style="153" customWidth="1"/>
    <col min="13314" max="13314" width="18.33203125" style="153" customWidth="1"/>
    <col min="13315" max="13315" width="10.25" style="153" customWidth="1"/>
    <col min="13316" max="13316" width="10.33203125" style="153" customWidth="1"/>
    <col min="13317" max="13317" width="11.08203125" style="153" customWidth="1"/>
    <col min="13318" max="13318" width="12.33203125" style="153" customWidth="1"/>
    <col min="13319" max="13319" width="9.75" style="153" customWidth="1"/>
    <col min="13320" max="13320" width="11.83203125" style="153" customWidth="1"/>
    <col min="13321" max="13321" width="6.25" style="153" customWidth="1"/>
    <col min="13322" max="13568" width="9" style="153"/>
    <col min="13569" max="13569" width="2" style="153" customWidth="1"/>
    <col min="13570" max="13570" width="18.33203125" style="153" customWidth="1"/>
    <col min="13571" max="13571" width="10.25" style="153" customWidth="1"/>
    <col min="13572" max="13572" width="10.33203125" style="153" customWidth="1"/>
    <col min="13573" max="13573" width="11.08203125" style="153" customWidth="1"/>
    <col min="13574" max="13574" width="12.33203125" style="153" customWidth="1"/>
    <col min="13575" max="13575" width="9.75" style="153" customWidth="1"/>
    <col min="13576" max="13576" width="11.83203125" style="153" customWidth="1"/>
    <col min="13577" max="13577" width="6.25" style="153" customWidth="1"/>
    <col min="13578" max="13824" width="9" style="153"/>
    <col min="13825" max="13825" width="2" style="153" customWidth="1"/>
    <col min="13826" max="13826" width="18.33203125" style="153" customWidth="1"/>
    <col min="13827" max="13827" width="10.25" style="153" customWidth="1"/>
    <col min="13828" max="13828" width="10.33203125" style="153" customWidth="1"/>
    <col min="13829" max="13829" width="11.08203125" style="153" customWidth="1"/>
    <col min="13830" max="13830" width="12.33203125" style="153" customWidth="1"/>
    <col min="13831" max="13831" width="9.75" style="153" customWidth="1"/>
    <col min="13832" max="13832" width="11.83203125" style="153" customWidth="1"/>
    <col min="13833" max="13833" width="6.25" style="153" customWidth="1"/>
    <col min="13834" max="14080" width="9" style="153"/>
    <col min="14081" max="14081" width="2" style="153" customWidth="1"/>
    <col min="14082" max="14082" width="18.33203125" style="153" customWidth="1"/>
    <col min="14083" max="14083" width="10.25" style="153" customWidth="1"/>
    <col min="14084" max="14084" width="10.33203125" style="153" customWidth="1"/>
    <col min="14085" max="14085" width="11.08203125" style="153" customWidth="1"/>
    <col min="14086" max="14086" width="12.33203125" style="153" customWidth="1"/>
    <col min="14087" max="14087" width="9.75" style="153" customWidth="1"/>
    <col min="14088" max="14088" width="11.83203125" style="153" customWidth="1"/>
    <col min="14089" max="14089" width="6.25" style="153" customWidth="1"/>
    <col min="14090" max="14336" width="9" style="153"/>
    <col min="14337" max="14337" width="2" style="153" customWidth="1"/>
    <col min="14338" max="14338" width="18.33203125" style="153" customWidth="1"/>
    <col min="14339" max="14339" width="10.25" style="153" customWidth="1"/>
    <col min="14340" max="14340" width="10.33203125" style="153" customWidth="1"/>
    <col min="14341" max="14341" width="11.08203125" style="153" customWidth="1"/>
    <col min="14342" max="14342" width="12.33203125" style="153" customWidth="1"/>
    <col min="14343" max="14343" width="9.75" style="153" customWidth="1"/>
    <col min="14344" max="14344" width="11.83203125" style="153" customWidth="1"/>
    <col min="14345" max="14345" width="6.25" style="153" customWidth="1"/>
    <col min="14346" max="14592" width="9" style="153"/>
    <col min="14593" max="14593" width="2" style="153" customWidth="1"/>
    <col min="14594" max="14594" width="18.33203125" style="153" customWidth="1"/>
    <col min="14595" max="14595" width="10.25" style="153" customWidth="1"/>
    <col min="14596" max="14596" width="10.33203125" style="153" customWidth="1"/>
    <col min="14597" max="14597" width="11.08203125" style="153" customWidth="1"/>
    <col min="14598" max="14598" width="12.33203125" style="153" customWidth="1"/>
    <col min="14599" max="14599" width="9.75" style="153" customWidth="1"/>
    <col min="14600" max="14600" width="11.83203125" style="153" customWidth="1"/>
    <col min="14601" max="14601" width="6.25" style="153" customWidth="1"/>
    <col min="14602" max="14848" width="9" style="153"/>
    <col min="14849" max="14849" width="2" style="153" customWidth="1"/>
    <col min="14850" max="14850" width="18.33203125" style="153" customWidth="1"/>
    <col min="14851" max="14851" width="10.25" style="153" customWidth="1"/>
    <col min="14852" max="14852" width="10.33203125" style="153" customWidth="1"/>
    <col min="14853" max="14853" width="11.08203125" style="153" customWidth="1"/>
    <col min="14854" max="14854" width="12.33203125" style="153" customWidth="1"/>
    <col min="14855" max="14855" width="9.75" style="153" customWidth="1"/>
    <col min="14856" max="14856" width="11.83203125" style="153" customWidth="1"/>
    <col min="14857" max="14857" width="6.25" style="153" customWidth="1"/>
    <col min="14858" max="15104" width="9" style="153"/>
    <col min="15105" max="15105" width="2" style="153" customWidth="1"/>
    <col min="15106" max="15106" width="18.33203125" style="153" customWidth="1"/>
    <col min="15107" max="15107" width="10.25" style="153" customWidth="1"/>
    <col min="15108" max="15108" width="10.33203125" style="153" customWidth="1"/>
    <col min="15109" max="15109" width="11.08203125" style="153" customWidth="1"/>
    <col min="15110" max="15110" width="12.33203125" style="153" customWidth="1"/>
    <col min="15111" max="15111" width="9.75" style="153" customWidth="1"/>
    <col min="15112" max="15112" width="11.83203125" style="153" customWidth="1"/>
    <col min="15113" max="15113" width="6.25" style="153" customWidth="1"/>
    <col min="15114" max="15360" width="9" style="153"/>
    <col min="15361" max="15361" width="2" style="153" customWidth="1"/>
    <col min="15362" max="15362" width="18.33203125" style="153" customWidth="1"/>
    <col min="15363" max="15363" width="10.25" style="153" customWidth="1"/>
    <col min="15364" max="15364" width="10.33203125" style="153" customWidth="1"/>
    <col min="15365" max="15365" width="11.08203125" style="153" customWidth="1"/>
    <col min="15366" max="15366" width="12.33203125" style="153" customWidth="1"/>
    <col min="15367" max="15367" width="9.75" style="153" customWidth="1"/>
    <col min="15368" max="15368" width="11.83203125" style="153" customWidth="1"/>
    <col min="15369" max="15369" width="6.25" style="153" customWidth="1"/>
    <col min="15370" max="15616" width="9" style="153"/>
    <col min="15617" max="15617" width="2" style="153" customWidth="1"/>
    <col min="15618" max="15618" width="18.33203125" style="153" customWidth="1"/>
    <col min="15619" max="15619" width="10.25" style="153" customWidth="1"/>
    <col min="15620" max="15620" width="10.33203125" style="153" customWidth="1"/>
    <col min="15621" max="15621" width="11.08203125" style="153" customWidth="1"/>
    <col min="15622" max="15622" width="12.33203125" style="153" customWidth="1"/>
    <col min="15623" max="15623" width="9.75" style="153" customWidth="1"/>
    <col min="15624" max="15624" width="11.83203125" style="153" customWidth="1"/>
    <col min="15625" max="15625" width="6.25" style="153" customWidth="1"/>
    <col min="15626" max="15872" width="9" style="153"/>
    <col min="15873" max="15873" width="2" style="153" customWidth="1"/>
    <col min="15874" max="15874" width="18.33203125" style="153" customWidth="1"/>
    <col min="15875" max="15875" width="10.25" style="153" customWidth="1"/>
    <col min="15876" max="15876" width="10.33203125" style="153" customWidth="1"/>
    <col min="15877" max="15877" width="11.08203125" style="153" customWidth="1"/>
    <col min="15878" max="15878" width="12.33203125" style="153" customWidth="1"/>
    <col min="15879" max="15879" width="9.75" style="153" customWidth="1"/>
    <col min="15880" max="15880" width="11.83203125" style="153" customWidth="1"/>
    <col min="15881" max="15881" width="6.25" style="153" customWidth="1"/>
    <col min="15882" max="16128" width="9" style="153"/>
    <col min="16129" max="16129" width="2" style="153" customWidth="1"/>
    <col min="16130" max="16130" width="18.33203125" style="153" customWidth="1"/>
    <col min="16131" max="16131" width="10.25" style="153" customWidth="1"/>
    <col min="16132" max="16132" width="10.33203125" style="153" customWidth="1"/>
    <col min="16133" max="16133" width="11.08203125" style="153" customWidth="1"/>
    <col min="16134" max="16134" width="12.33203125" style="153" customWidth="1"/>
    <col min="16135" max="16135" width="9.75" style="153" customWidth="1"/>
    <col min="16136" max="16136" width="11.83203125" style="153" customWidth="1"/>
    <col min="16137" max="16137" width="6.25" style="153" customWidth="1"/>
    <col min="16138" max="16384" width="9" style="153"/>
  </cols>
  <sheetData>
    <row r="2" spans="2:11" x14ac:dyDescent="0.35">
      <c r="D2" s="154" t="s">
        <v>178</v>
      </c>
      <c r="I2" s="155" t="s">
        <v>0</v>
      </c>
      <c r="K2" s="156"/>
    </row>
    <row r="3" spans="2:11" x14ac:dyDescent="0.35">
      <c r="K3" s="156"/>
    </row>
    <row r="4" spans="2:11" x14ac:dyDescent="0.35">
      <c r="K4" s="156"/>
    </row>
    <row r="5" spans="2:11" x14ac:dyDescent="0.35">
      <c r="B5" s="157" t="s">
        <v>179</v>
      </c>
    </row>
    <row r="6" spans="2:11" x14ac:dyDescent="0.35">
      <c r="B6" s="153" t="s">
        <v>180</v>
      </c>
      <c r="C6" s="114">
        <v>600000</v>
      </c>
    </row>
    <row r="7" spans="2:11" x14ac:dyDescent="0.35">
      <c r="B7" s="153" t="s">
        <v>181</v>
      </c>
      <c r="C7" s="158">
        <v>0.03</v>
      </c>
    </row>
    <row r="8" spans="2:11" x14ac:dyDescent="0.35">
      <c r="B8" s="153" t="s">
        <v>182</v>
      </c>
      <c r="C8" s="158">
        <v>0.05</v>
      </c>
    </row>
    <row r="10" spans="2:11" x14ac:dyDescent="0.35">
      <c r="B10" s="157" t="s">
        <v>70</v>
      </c>
      <c r="C10" s="157" t="s">
        <v>183</v>
      </c>
      <c r="D10" s="157" t="s">
        <v>184</v>
      </c>
      <c r="E10" s="157" t="s">
        <v>185</v>
      </c>
      <c r="F10" s="157"/>
      <c r="G10" s="157"/>
      <c r="I10" s="155">
        <v>3</v>
      </c>
    </row>
    <row r="11" spans="2:11" x14ac:dyDescent="0.35">
      <c r="B11" s="159" t="s">
        <v>177</v>
      </c>
      <c r="C11" s="114">
        <f>+$C$7*$C$6</f>
        <v>18000</v>
      </c>
      <c r="D11" s="160">
        <f>(1+$C$8)^F11</f>
        <v>1.05</v>
      </c>
      <c r="E11" s="161">
        <f>+C11/D11</f>
        <v>17142.857142857141</v>
      </c>
      <c r="F11" s="161">
        <v>1</v>
      </c>
      <c r="G11" s="157"/>
    </row>
    <row r="12" spans="2:11" x14ac:dyDescent="0.35">
      <c r="B12" s="159" t="s">
        <v>186</v>
      </c>
      <c r="C12" s="114">
        <f>+$C$7*$C$6</f>
        <v>18000</v>
      </c>
      <c r="D12" s="160">
        <f>(1+$C$8)^F12</f>
        <v>1.1025</v>
      </c>
      <c r="E12" s="161">
        <f>+C12/D12</f>
        <v>16326.530612244898</v>
      </c>
      <c r="F12" s="161">
        <v>2</v>
      </c>
      <c r="G12" s="161"/>
    </row>
    <row r="13" spans="2:11" ht="18.5" x14ac:dyDescent="0.65">
      <c r="B13" s="159" t="s">
        <v>187</v>
      </c>
      <c r="C13" s="114">
        <f>+C12+C6</f>
        <v>618000</v>
      </c>
      <c r="D13" s="160">
        <f>(1+$C$8)^F13</f>
        <v>1.1576250000000001</v>
      </c>
      <c r="E13" s="162">
        <f>+C13/D13</f>
        <v>533851.63589245221</v>
      </c>
      <c r="F13" s="161">
        <v>3</v>
      </c>
      <c r="G13" s="161"/>
    </row>
    <row r="14" spans="2:11" x14ac:dyDescent="0.35">
      <c r="B14" s="159"/>
      <c r="E14" s="163">
        <f>SUM(E11:E13)</f>
        <v>567321.02364755422</v>
      </c>
      <c r="F14" s="161" t="s">
        <v>188</v>
      </c>
      <c r="G14" s="161"/>
    </row>
    <row r="15" spans="2:11" x14ac:dyDescent="0.35">
      <c r="B15" s="159"/>
      <c r="E15" s="163"/>
      <c r="F15" s="161"/>
      <c r="G15" s="161"/>
    </row>
    <row r="16" spans="2:11" x14ac:dyDescent="0.35">
      <c r="B16" s="164" t="s">
        <v>189</v>
      </c>
      <c r="E16" s="163"/>
      <c r="F16" s="161"/>
      <c r="G16" s="161"/>
    </row>
    <row r="17" spans="2:9" x14ac:dyDescent="0.35">
      <c r="B17" s="159"/>
      <c r="E17" s="163"/>
      <c r="F17" s="161"/>
      <c r="G17" s="161"/>
    </row>
    <row r="18" spans="2:9" x14ac:dyDescent="0.35">
      <c r="B18" s="159" t="s">
        <v>15</v>
      </c>
      <c r="C18" s="165">
        <f>E14</f>
        <v>567321.02364755422</v>
      </c>
      <c r="E18" s="163"/>
      <c r="F18" s="161"/>
      <c r="G18" s="161"/>
    </row>
    <row r="19" spans="2:9" x14ac:dyDescent="0.35">
      <c r="B19" s="159" t="s">
        <v>190</v>
      </c>
      <c r="C19" s="165">
        <f>C20-C18</f>
        <v>32678.976352445781</v>
      </c>
      <c r="E19" s="163"/>
      <c r="F19" s="161"/>
      <c r="G19" s="161"/>
      <c r="I19" s="155">
        <v>3</v>
      </c>
    </row>
    <row r="20" spans="2:9" x14ac:dyDescent="0.35">
      <c r="B20" s="159" t="s">
        <v>191</v>
      </c>
      <c r="C20" s="165">
        <f>C6</f>
        <v>600000</v>
      </c>
      <c r="E20" s="163"/>
      <c r="F20" s="161"/>
      <c r="G20" s="161"/>
    </row>
    <row r="21" spans="2:9" x14ac:dyDescent="0.35">
      <c r="B21" s="159"/>
      <c r="E21" s="163"/>
      <c r="F21" s="161"/>
      <c r="G21" s="161"/>
    </row>
    <row r="22" spans="2:9" hidden="1" x14ac:dyDescent="0.35">
      <c r="C22" s="166" t="s">
        <v>121</v>
      </c>
      <c r="D22" s="166" t="s">
        <v>122</v>
      </c>
    </row>
    <row r="23" spans="2:9" hidden="1" x14ac:dyDescent="0.35">
      <c r="B23" s="153" t="s">
        <v>192</v>
      </c>
      <c r="C23" s="165">
        <f>+E14</f>
        <v>567321.02364755422</v>
      </c>
      <c r="E23" s="153" t="s">
        <v>193</v>
      </c>
    </row>
    <row r="24" spans="2:9" hidden="1" x14ac:dyDescent="0.35">
      <c r="B24" s="153" t="s">
        <v>8</v>
      </c>
      <c r="D24" s="165">
        <f>C23-D25</f>
        <v>-32678.976352445781</v>
      </c>
    </row>
    <row r="25" spans="2:9" hidden="1" x14ac:dyDescent="0.35">
      <c r="B25" s="153" t="s">
        <v>194</v>
      </c>
      <c r="D25" s="153">
        <f>+C6</f>
        <v>600000</v>
      </c>
    </row>
    <row r="27" spans="2:9" x14ac:dyDescent="0.35">
      <c r="B27" s="157" t="s">
        <v>195</v>
      </c>
    </row>
    <row r="28" spans="2:9" x14ac:dyDescent="0.35">
      <c r="C28" s="154" t="s">
        <v>29</v>
      </c>
      <c r="D28" s="154" t="s">
        <v>129</v>
      </c>
      <c r="E28" s="154" t="s">
        <v>25</v>
      </c>
      <c r="F28" s="154" t="s">
        <v>196</v>
      </c>
      <c r="G28" s="154" t="s">
        <v>197</v>
      </c>
      <c r="H28" s="154" t="s">
        <v>103</v>
      </c>
    </row>
    <row r="29" spans="2:9" x14ac:dyDescent="0.35">
      <c r="B29" s="159">
        <v>2015</v>
      </c>
      <c r="C29" s="161"/>
      <c r="G29" s="165">
        <f>+D24</f>
        <v>-32678.976352445781</v>
      </c>
      <c r="H29" s="165">
        <f>+C23</f>
        <v>567321.02364755422</v>
      </c>
    </row>
    <row r="30" spans="2:9" x14ac:dyDescent="0.35">
      <c r="B30" s="159">
        <v>2016</v>
      </c>
      <c r="C30" s="165">
        <f>+H29</f>
        <v>567321.02364755422</v>
      </c>
      <c r="D30" s="161">
        <f>+C30*$C$8</f>
        <v>28366.051182377712</v>
      </c>
      <c r="E30" s="161">
        <f>+C11</f>
        <v>18000</v>
      </c>
      <c r="F30" s="161">
        <f>E30-D30</f>
        <v>-10366.051182377712</v>
      </c>
      <c r="G30" s="161">
        <f>+G29-F30</f>
        <v>-22312.925170068069</v>
      </c>
      <c r="H30" s="161">
        <f>C30-F30</f>
        <v>577687.07482993195</v>
      </c>
    </row>
    <row r="31" spans="2:9" x14ac:dyDescent="0.35">
      <c r="B31" s="159">
        <v>2017</v>
      </c>
      <c r="C31" s="165">
        <f>+H30</f>
        <v>577687.07482993195</v>
      </c>
      <c r="D31" s="161">
        <f>+C31*$C$8</f>
        <v>28884.353741496598</v>
      </c>
      <c r="E31" s="161">
        <f>+C12</f>
        <v>18000</v>
      </c>
      <c r="F31" s="161">
        <f>E31-D31</f>
        <v>-10884.353741496598</v>
      </c>
      <c r="G31" s="161">
        <f>+G30-F31</f>
        <v>-11428.571428571471</v>
      </c>
      <c r="H31" s="161">
        <f>C31-F31</f>
        <v>588571.42857142852</v>
      </c>
      <c r="I31" s="155">
        <v>2</v>
      </c>
    </row>
    <row r="32" spans="2:9" hidden="1" x14ac:dyDescent="0.35">
      <c r="B32" s="159">
        <v>2018</v>
      </c>
      <c r="C32" s="165">
        <f t="shared" ref="C32:C33" si="0">+H31</f>
        <v>588571.42857142852</v>
      </c>
      <c r="D32" s="161">
        <f t="shared" ref="D32:D34" si="1">+C32*$C$8</f>
        <v>29428.571428571428</v>
      </c>
      <c r="E32" s="161">
        <f t="shared" ref="E32:E33" si="2">+C13</f>
        <v>618000</v>
      </c>
      <c r="F32" s="161">
        <f t="shared" ref="F32:F34" si="3">E32-D32</f>
        <v>588571.42857142852</v>
      </c>
      <c r="G32" s="161">
        <f t="shared" ref="G32:G34" si="4">+G31-F32</f>
        <v>-600000</v>
      </c>
      <c r="H32" s="161">
        <f t="shared" ref="H32:H34" si="5">C32-F32</f>
        <v>0</v>
      </c>
    </row>
    <row r="33" spans="2:9" hidden="1" x14ac:dyDescent="0.35">
      <c r="B33" s="159">
        <v>2019</v>
      </c>
      <c r="C33" s="165">
        <f t="shared" si="0"/>
        <v>0</v>
      </c>
      <c r="D33" s="161">
        <f t="shared" si="1"/>
        <v>0</v>
      </c>
      <c r="E33" s="161">
        <f t="shared" si="2"/>
        <v>0</v>
      </c>
      <c r="F33" s="161">
        <f t="shared" si="3"/>
        <v>0</v>
      </c>
      <c r="G33" s="161">
        <f t="shared" si="4"/>
        <v>-600000</v>
      </c>
      <c r="H33" s="161">
        <f t="shared" si="5"/>
        <v>0</v>
      </c>
    </row>
    <row r="34" spans="2:9" x14ac:dyDescent="0.35">
      <c r="B34" s="159">
        <v>2018</v>
      </c>
      <c r="C34" s="161">
        <f>H31</f>
        <v>588571.42857142852</v>
      </c>
      <c r="D34" s="161">
        <f t="shared" si="1"/>
        <v>29428.571428571428</v>
      </c>
      <c r="E34" s="161">
        <f>E31</f>
        <v>18000</v>
      </c>
      <c r="F34" s="161">
        <f t="shared" si="3"/>
        <v>-11428.571428571428</v>
      </c>
      <c r="G34" s="161">
        <f t="shared" si="4"/>
        <v>-588571.42857142852</v>
      </c>
      <c r="H34" s="161">
        <f t="shared" si="5"/>
        <v>600000</v>
      </c>
    </row>
    <row r="35" spans="2:9" x14ac:dyDescent="0.35">
      <c r="B35" s="159"/>
      <c r="C35" s="161"/>
      <c r="D35" s="161"/>
      <c r="E35" s="161"/>
      <c r="F35" s="161"/>
      <c r="G35" s="161"/>
      <c r="H35" s="161"/>
    </row>
    <row r="36" spans="2:9" x14ac:dyDescent="0.35">
      <c r="C36" s="157" t="s">
        <v>198</v>
      </c>
      <c r="H36" s="167"/>
    </row>
    <row r="37" spans="2:9" x14ac:dyDescent="0.35">
      <c r="B37" s="153" t="s">
        <v>199</v>
      </c>
      <c r="C37" s="165">
        <f>C6</f>
        <v>600000</v>
      </c>
      <c r="H37" s="167"/>
    </row>
    <row r="38" spans="2:9" ht="18.5" x14ac:dyDescent="0.65">
      <c r="B38" s="153" t="s">
        <v>197</v>
      </c>
      <c r="C38" s="168">
        <f>G31</f>
        <v>-11428.571428571471</v>
      </c>
      <c r="H38" s="167"/>
      <c r="I38" s="155">
        <v>3</v>
      </c>
    </row>
    <row r="39" spans="2:9" x14ac:dyDescent="0.35">
      <c r="B39" s="167" t="s">
        <v>214</v>
      </c>
      <c r="C39" s="169">
        <f>SUM(C37:C38)</f>
        <v>588571.42857142852</v>
      </c>
    </row>
    <row r="41" spans="2:9" x14ac:dyDescent="0.35">
      <c r="B41" s="157" t="s">
        <v>200</v>
      </c>
    </row>
    <row r="42" spans="2:9" x14ac:dyDescent="0.35">
      <c r="D42" s="114"/>
    </row>
    <row r="43" spans="2:9" x14ac:dyDescent="0.35">
      <c r="B43" s="159" t="s">
        <v>25</v>
      </c>
      <c r="C43" s="165">
        <f>E30</f>
        <v>18000</v>
      </c>
      <c r="I43" s="155">
        <v>5</v>
      </c>
    </row>
    <row r="44" spans="2:9" ht="18.5" x14ac:dyDescent="0.65">
      <c r="B44" s="159" t="s">
        <v>196</v>
      </c>
      <c r="C44" s="162">
        <f>-F31</f>
        <v>10884.353741496598</v>
      </c>
    </row>
    <row r="45" spans="2:9" x14ac:dyDescent="0.35">
      <c r="B45" s="153" t="s">
        <v>201</v>
      </c>
      <c r="C45" s="165">
        <f>SUM(C43:C44)</f>
        <v>28884.353741496598</v>
      </c>
    </row>
    <row r="49" spans="2:9" x14ac:dyDescent="0.35">
      <c r="B49" s="157" t="s">
        <v>202</v>
      </c>
    </row>
    <row r="50" spans="2:9" x14ac:dyDescent="0.35">
      <c r="B50" s="157"/>
      <c r="C50" s="166" t="s">
        <v>203</v>
      </c>
      <c r="D50" s="166"/>
    </row>
    <row r="51" spans="2:9" x14ac:dyDescent="0.35">
      <c r="B51" s="153" t="s">
        <v>204</v>
      </c>
      <c r="C51" s="114">
        <f>-F34</f>
        <v>11428.571428571428</v>
      </c>
      <c r="D51" s="153" t="s">
        <v>205</v>
      </c>
      <c r="I51" s="155">
        <v>2</v>
      </c>
    </row>
    <row r="52" spans="2:9" x14ac:dyDescent="0.35">
      <c r="B52" s="153" t="s">
        <v>25</v>
      </c>
      <c r="C52" s="114">
        <v>18000</v>
      </c>
      <c r="D52" s="153" t="s">
        <v>206</v>
      </c>
      <c r="I52" s="155">
        <v>2</v>
      </c>
    </row>
    <row r="56" spans="2:9" x14ac:dyDescent="0.35">
      <c r="H56" s="153" t="s">
        <v>1</v>
      </c>
      <c r="I56" s="155">
        <f>SUM(I4:I55)</f>
        <v>20</v>
      </c>
    </row>
  </sheetData>
  <pageMargins left="0.7" right="0.7" top="0.75" bottom="0.75" header="0.3" footer="0.3"/>
  <pageSetup paperSize="9" orientation="portrait" horizontalDpi="200" verticalDpi="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6"/>
  <sheetViews>
    <sheetView rightToLeft="1" tabSelected="1" topLeftCell="B1" zoomScaleNormal="100" workbookViewId="0">
      <selection activeCell="H19" sqref="H19"/>
    </sheetView>
  </sheetViews>
  <sheetFormatPr defaultRowHeight="15.5" x14ac:dyDescent="0.35"/>
  <cols>
    <col min="1" max="1" width="2" style="153" customWidth="1"/>
    <col min="2" max="2" width="23.75" style="153" customWidth="1"/>
    <col min="3" max="3" width="13.08203125" style="153" customWidth="1"/>
    <col min="4" max="4" width="13.58203125" style="153" customWidth="1"/>
    <col min="5" max="5" width="14" style="153" bestFit="1" customWidth="1"/>
    <col min="6" max="6" width="12" style="153" bestFit="1" customWidth="1"/>
    <col min="7" max="7" width="11.58203125" style="153" bestFit="1" customWidth="1"/>
    <col min="8" max="8" width="11.83203125" style="153" customWidth="1"/>
    <col min="9" max="9" width="6.25" style="155" customWidth="1"/>
    <col min="10" max="256" width="8.6640625" style="153"/>
    <col min="257" max="257" width="2" style="153" customWidth="1"/>
    <col min="258" max="258" width="18.33203125" style="153" customWidth="1"/>
    <col min="259" max="259" width="10.25" style="153" customWidth="1"/>
    <col min="260" max="260" width="10.33203125" style="153" customWidth="1"/>
    <col min="261" max="261" width="11.08203125" style="153" customWidth="1"/>
    <col min="262" max="262" width="12.33203125" style="153" customWidth="1"/>
    <col min="263" max="263" width="9.75" style="153" customWidth="1"/>
    <col min="264" max="264" width="11.83203125" style="153" customWidth="1"/>
    <col min="265" max="265" width="6.25" style="153" customWidth="1"/>
    <col min="266" max="512" width="8.6640625" style="153"/>
    <col min="513" max="513" width="2" style="153" customWidth="1"/>
    <col min="514" max="514" width="18.33203125" style="153" customWidth="1"/>
    <col min="515" max="515" width="10.25" style="153" customWidth="1"/>
    <col min="516" max="516" width="10.33203125" style="153" customWidth="1"/>
    <col min="517" max="517" width="11.08203125" style="153" customWidth="1"/>
    <col min="518" max="518" width="12.33203125" style="153" customWidth="1"/>
    <col min="519" max="519" width="9.75" style="153" customWidth="1"/>
    <col min="520" max="520" width="11.83203125" style="153" customWidth="1"/>
    <col min="521" max="521" width="6.25" style="153" customWidth="1"/>
    <col min="522" max="768" width="8.6640625" style="153"/>
    <col min="769" max="769" width="2" style="153" customWidth="1"/>
    <col min="770" max="770" width="18.33203125" style="153" customWidth="1"/>
    <col min="771" max="771" width="10.25" style="153" customWidth="1"/>
    <col min="772" max="772" width="10.33203125" style="153" customWidth="1"/>
    <col min="773" max="773" width="11.08203125" style="153" customWidth="1"/>
    <col min="774" max="774" width="12.33203125" style="153" customWidth="1"/>
    <col min="775" max="775" width="9.75" style="153" customWidth="1"/>
    <col min="776" max="776" width="11.83203125" style="153" customWidth="1"/>
    <col min="777" max="777" width="6.25" style="153" customWidth="1"/>
    <col min="778" max="1024" width="8.6640625" style="153"/>
    <col min="1025" max="1025" width="2" style="153" customWidth="1"/>
    <col min="1026" max="1026" width="18.33203125" style="153" customWidth="1"/>
    <col min="1027" max="1027" width="10.25" style="153" customWidth="1"/>
    <col min="1028" max="1028" width="10.33203125" style="153" customWidth="1"/>
    <col min="1029" max="1029" width="11.08203125" style="153" customWidth="1"/>
    <col min="1030" max="1030" width="12.33203125" style="153" customWidth="1"/>
    <col min="1031" max="1031" width="9.75" style="153" customWidth="1"/>
    <col min="1032" max="1032" width="11.83203125" style="153" customWidth="1"/>
    <col min="1033" max="1033" width="6.25" style="153" customWidth="1"/>
    <col min="1034" max="1280" width="8.6640625" style="153"/>
    <col min="1281" max="1281" width="2" style="153" customWidth="1"/>
    <col min="1282" max="1282" width="18.33203125" style="153" customWidth="1"/>
    <col min="1283" max="1283" width="10.25" style="153" customWidth="1"/>
    <col min="1284" max="1284" width="10.33203125" style="153" customWidth="1"/>
    <col min="1285" max="1285" width="11.08203125" style="153" customWidth="1"/>
    <col min="1286" max="1286" width="12.33203125" style="153" customWidth="1"/>
    <col min="1287" max="1287" width="9.75" style="153" customWidth="1"/>
    <col min="1288" max="1288" width="11.83203125" style="153" customWidth="1"/>
    <col min="1289" max="1289" width="6.25" style="153" customWidth="1"/>
    <col min="1290" max="1536" width="8.6640625" style="153"/>
    <col min="1537" max="1537" width="2" style="153" customWidth="1"/>
    <col min="1538" max="1538" width="18.33203125" style="153" customWidth="1"/>
    <col min="1539" max="1539" width="10.25" style="153" customWidth="1"/>
    <col min="1540" max="1540" width="10.33203125" style="153" customWidth="1"/>
    <col min="1541" max="1541" width="11.08203125" style="153" customWidth="1"/>
    <col min="1542" max="1542" width="12.33203125" style="153" customWidth="1"/>
    <col min="1543" max="1543" width="9.75" style="153" customWidth="1"/>
    <col min="1544" max="1544" width="11.83203125" style="153" customWidth="1"/>
    <col min="1545" max="1545" width="6.25" style="153" customWidth="1"/>
    <col min="1546" max="1792" width="8.6640625" style="153"/>
    <col min="1793" max="1793" width="2" style="153" customWidth="1"/>
    <col min="1794" max="1794" width="18.33203125" style="153" customWidth="1"/>
    <col min="1795" max="1795" width="10.25" style="153" customWidth="1"/>
    <col min="1796" max="1796" width="10.33203125" style="153" customWidth="1"/>
    <col min="1797" max="1797" width="11.08203125" style="153" customWidth="1"/>
    <col min="1798" max="1798" width="12.33203125" style="153" customWidth="1"/>
    <col min="1799" max="1799" width="9.75" style="153" customWidth="1"/>
    <col min="1800" max="1800" width="11.83203125" style="153" customWidth="1"/>
    <col min="1801" max="1801" width="6.25" style="153" customWidth="1"/>
    <col min="1802" max="2048" width="8.6640625" style="153"/>
    <col min="2049" max="2049" width="2" style="153" customWidth="1"/>
    <col min="2050" max="2050" width="18.33203125" style="153" customWidth="1"/>
    <col min="2051" max="2051" width="10.25" style="153" customWidth="1"/>
    <col min="2052" max="2052" width="10.33203125" style="153" customWidth="1"/>
    <col min="2053" max="2053" width="11.08203125" style="153" customWidth="1"/>
    <col min="2054" max="2054" width="12.33203125" style="153" customWidth="1"/>
    <col min="2055" max="2055" width="9.75" style="153" customWidth="1"/>
    <col min="2056" max="2056" width="11.83203125" style="153" customWidth="1"/>
    <col min="2057" max="2057" width="6.25" style="153" customWidth="1"/>
    <col min="2058" max="2304" width="8.6640625" style="153"/>
    <col min="2305" max="2305" width="2" style="153" customWidth="1"/>
    <col min="2306" max="2306" width="18.33203125" style="153" customWidth="1"/>
    <col min="2307" max="2307" width="10.25" style="153" customWidth="1"/>
    <col min="2308" max="2308" width="10.33203125" style="153" customWidth="1"/>
    <col min="2309" max="2309" width="11.08203125" style="153" customWidth="1"/>
    <col min="2310" max="2310" width="12.33203125" style="153" customWidth="1"/>
    <col min="2311" max="2311" width="9.75" style="153" customWidth="1"/>
    <col min="2312" max="2312" width="11.83203125" style="153" customWidth="1"/>
    <col min="2313" max="2313" width="6.25" style="153" customWidth="1"/>
    <col min="2314" max="2560" width="8.6640625" style="153"/>
    <col min="2561" max="2561" width="2" style="153" customWidth="1"/>
    <col min="2562" max="2562" width="18.33203125" style="153" customWidth="1"/>
    <col min="2563" max="2563" width="10.25" style="153" customWidth="1"/>
    <col min="2564" max="2564" width="10.33203125" style="153" customWidth="1"/>
    <col min="2565" max="2565" width="11.08203125" style="153" customWidth="1"/>
    <col min="2566" max="2566" width="12.33203125" style="153" customWidth="1"/>
    <col min="2567" max="2567" width="9.75" style="153" customWidth="1"/>
    <col min="2568" max="2568" width="11.83203125" style="153" customWidth="1"/>
    <col min="2569" max="2569" width="6.25" style="153" customWidth="1"/>
    <col min="2570" max="2816" width="8.6640625" style="153"/>
    <col min="2817" max="2817" width="2" style="153" customWidth="1"/>
    <col min="2818" max="2818" width="18.33203125" style="153" customWidth="1"/>
    <col min="2819" max="2819" width="10.25" style="153" customWidth="1"/>
    <col min="2820" max="2820" width="10.33203125" style="153" customWidth="1"/>
    <col min="2821" max="2821" width="11.08203125" style="153" customWidth="1"/>
    <col min="2822" max="2822" width="12.33203125" style="153" customWidth="1"/>
    <col min="2823" max="2823" width="9.75" style="153" customWidth="1"/>
    <col min="2824" max="2824" width="11.83203125" style="153" customWidth="1"/>
    <col min="2825" max="2825" width="6.25" style="153" customWidth="1"/>
    <col min="2826" max="3072" width="8.6640625" style="153"/>
    <col min="3073" max="3073" width="2" style="153" customWidth="1"/>
    <col min="3074" max="3074" width="18.33203125" style="153" customWidth="1"/>
    <col min="3075" max="3075" width="10.25" style="153" customWidth="1"/>
    <col min="3076" max="3076" width="10.33203125" style="153" customWidth="1"/>
    <col min="3077" max="3077" width="11.08203125" style="153" customWidth="1"/>
    <col min="3078" max="3078" width="12.33203125" style="153" customWidth="1"/>
    <col min="3079" max="3079" width="9.75" style="153" customWidth="1"/>
    <col min="3080" max="3080" width="11.83203125" style="153" customWidth="1"/>
    <col min="3081" max="3081" width="6.25" style="153" customWidth="1"/>
    <col min="3082" max="3328" width="8.6640625" style="153"/>
    <col min="3329" max="3329" width="2" style="153" customWidth="1"/>
    <col min="3330" max="3330" width="18.33203125" style="153" customWidth="1"/>
    <col min="3331" max="3331" width="10.25" style="153" customWidth="1"/>
    <col min="3332" max="3332" width="10.33203125" style="153" customWidth="1"/>
    <col min="3333" max="3333" width="11.08203125" style="153" customWidth="1"/>
    <col min="3334" max="3334" width="12.33203125" style="153" customWidth="1"/>
    <col min="3335" max="3335" width="9.75" style="153" customWidth="1"/>
    <col min="3336" max="3336" width="11.83203125" style="153" customWidth="1"/>
    <col min="3337" max="3337" width="6.25" style="153" customWidth="1"/>
    <col min="3338" max="3584" width="8.6640625" style="153"/>
    <col min="3585" max="3585" width="2" style="153" customWidth="1"/>
    <col min="3586" max="3586" width="18.33203125" style="153" customWidth="1"/>
    <col min="3587" max="3587" width="10.25" style="153" customWidth="1"/>
    <col min="3588" max="3588" width="10.33203125" style="153" customWidth="1"/>
    <col min="3589" max="3589" width="11.08203125" style="153" customWidth="1"/>
    <col min="3590" max="3590" width="12.33203125" style="153" customWidth="1"/>
    <col min="3591" max="3591" width="9.75" style="153" customWidth="1"/>
    <col min="3592" max="3592" width="11.83203125" style="153" customWidth="1"/>
    <col min="3593" max="3593" width="6.25" style="153" customWidth="1"/>
    <col min="3594" max="3840" width="8.6640625" style="153"/>
    <col min="3841" max="3841" width="2" style="153" customWidth="1"/>
    <col min="3842" max="3842" width="18.33203125" style="153" customWidth="1"/>
    <col min="3843" max="3843" width="10.25" style="153" customWidth="1"/>
    <col min="3844" max="3844" width="10.33203125" style="153" customWidth="1"/>
    <col min="3845" max="3845" width="11.08203125" style="153" customWidth="1"/>
    <col min="3846" max="3846" width="12.33203125" style="153" customWidth="1"/>
    <col min="3847" max="3847" width="9.75" style="153" customWidth="1"/>
    <col min="3848" max="3848" width="11.83203125" style="153" customWidth="1"/>
    <col min="3849" max="3849" width="6.25" style="153" customWidth="1"/>
    <col min="3850" max="4096" width="8.6640625" style="153"/>
    <col min="4097" max="4097" width="2" style="153" customWidth="1"/>
    <col min="4098" max="4098" width="18.33203125" style="153" customWidth="1"/>
    <col min="4099" max="4099" width="10.25" style="153" customWidth="1"/>
    <col min="4100" max="4100" width="10.33203125" style="153" customWidth="1"/>
    <col min="4101" max="4101" width="11.08203125" style="153" customWidth="1"/>
    <col min="4102" max="4102" width="12.33203125" style="153" customWidth="1"/>
    <col min="4103" max="4103" width="9.75" style="153" customWidth="1"/>
    <col min="4104" max="4104" width="11.83203125" style="153" customWidth="1"/>
    <col min="4105" max="4105" width="6.25" style="153" customWidth="1"/>
    <col min="4106" max="4352" width="8.6640625" style="153"/>
    <col min="4353" max="4353" width="2" style="153" customWidth="1"/>
    <col min="4354" max="4354" width="18.33203125" style="153" customWidth="1"/>
    <col min="4355" max="4355" width="10.25" style="153" customWidth="1"/>
    <col min="4356" max="4356" width="10.33203125" style="153" customWidth="1"/>
    <col min="4357" max="4357" width="11.08203125" style="153" customWidth="1"/>
    <col min="4358" max="4358" width="12.33203125" style="153" customWidth="1"/>
    <col min="4359" max="4359" width="9.75" style="153" customWidth="1"/>
    <col min="4360" max="4360" width="11.83203125" style="153" customWidth="1"/>
    <col min="4361" max="4361" width="6.25" style="153" customWidth="1"/>
    <col min="4362" max="4608" width="8.6640625" style="153"/>
    <col min="4609" max="4609" width="2" style="153" customWidth="1"/>
    <col min="4610" max="4610" width="18.33203125" style="153" customWidth="1"/>
    <col min="4611" max="4611" width="10.25" style="153" customWidth="1"/>
    <col min="4612" max="4612" width="10.33203125" style="153" customWidth="1"/>
    <col min="4613" max="4613" width="11.08203125" style="153" customWidth="1"/>
    <col min="4614" max="4614" width="12.33203125" style="153" customWidth="1"/>
    <col min="4615" max="4615" width="9.75" style="153" customWidth="1"/>
    <col min="4616" max="4616" width="11.83203125" style="153" customWidth="1"/>
    <col min="4617" max="4617" width="6.25" style="153" customWidth="1"/>
    <col min="4618" max="4864" width="8.6640625" style="153"/>
    <col min="4865" max="4865" width="2" style="153" customWidth="1"/>
    <col min="4866" max="4866" width="18.33203125" style="153" customWidth="1"/>
    <col min="4867" max="4867" width="10.25" style="153" customWidth="1"/>
    <col min="4868" max="4868" width="10.33203125" style="153" customWidth="1"/>
    <col min="4869" max="4869" width="11.08203125" style="153" customWidth="1"/>
    <col min="4870" max="4870" width="12.33203125" style="153" customWidth="1"/>
    <col min="4871" max="4871" width="9.75" style="153" customWidth="1"/>
    <col min="4872" max="4872" width="11.83203125" style="153" customWidth="1"/>
    <col min="4873" max="4873" width="6.25" style="153" customWidth="1"/>
    <col min="4874" max="5120" width="8.6640625" style="153"/>
    <col min="5121" max="5121" width="2" style="153" customWidth="1"/>
    <col min="5122" max="5122" width="18.33203125" style="153" customWidth="1"/>
    <col min="5123" max="5123" width="10.25" style="153" customWidth="1"/>
    <col min="5124" max="5124" width="10.33203125" style="153" customWidth="1"/>
    <col min="5125" max="5125" width="11.08203125" style="153" customWidth="1"/>
    <col min="5126" max="5126" width="12.33203125" style="153" customWidth="1"/>
    <col min="5127" max="5127" width="9.75" style="153" customWidth="1"/>
    <col min="5128" max="5128" width="11.83203125" style="153" customWidth="1"/>
    <col min="5129" max="5129" width="6.25" style="153" customWidth="1"/>
    <col min="5130" max="5376" width="8.6640625" style="153"/>
    <col min="5377" max="5377" width="2" style="153" customWidth="1"/>
    <col min="5378" max="5378" width="18.33203125" style="153" customWidth="1"/>
    <col min="5379" max="5379" width="10.25" style="153" customWidth="1"/>
    <col min="5380" max="5380" width="10.33203125" style="153" customWidth="1"/>
    <col min="5381" max="5381" width="11.08203125" style="153" customWidth="1"/>
    <col min="5382" max="5382" width="12.33203125" style="153" customWidth="1"/>
    <col min="5383" max="5383" width="9.75" style="153" customWidth="1"/>
    <col min="5384" max="5384" width="11.83203125" style="153" customWidth="1"/>
    <col min="5385" max="5385" width="6.25" style="153" customWidth="1"/>
    <col min="5386" max="5632" width="8.6640625" style="153"/>
    <col min="5633" max="5633" width="2" style="153" customWidth="1"/>
    <col min="5634" max="5634" width="18.33203125" style="153" customWidth="1"/>
    <col min="5635" max="5635" width="10.25" style="153" customWidth="1"/>
    <col min="5636" max="5636" width="10.33203125" style="153" customWidth="1"/>
    <col min="5637" max="5637" width="11.08203125" style="153" customWidth="1"/>
    <col min="5638" max="5638" width="12.33203125" style="153" customWidth="1"/>
    <col min="5639" max="5639" width="9.75" style="153" customWidth="1"/>
    <col min="5640" max="5640" width="11.83203125" style="153" customWidth="1"/>
    <col min="5641" max="5641" width="6.25" style="153" customWidth="1"/>
    <col min="5642" max="5888" width="8.6640625" style="153"/>
    <col min="5889" max="5889" width="2" style="153" customWidth="1"/>
    <col min="5890" max="5890" width="18.33203125" style="153" customWidth="1"/>
    <col min="5891" max="5891" width="10.25" style="153" customWidth="1"/>
    <col min="5892" max="5892" width="10.33203125" style="153" customWidth="1"/>
    <col min="5893" max="5893" width="11.08203125" style="153" customWidth="1"/>
    <col min="5894" max="5894" width="12.33203125" style="153" customWidth="1"/>
    <col min="5895" max="5895" width="9.75" style="153" customWidth="1"/>
    <col min="5896" max="5896" width="11.83203125" style="153" customWidth="1"/>
    <col min="5897" max="5897" width="6.25" style="153" customWidth="1"/>
    <col min="5898" max="6144" width="8.6640625" style="153"/>
    <col min="6145" max="6145" width="2" style="153" customWidth="1"/>
    <col min="6146" max="6146" width="18.33203125" style="153" customWidth="1"/>
    <col min="6147" max="6147" width="10.25" style="153" customWidth="1"/>
    <col min="6148" max="6148" width="10.33203125" style="153" customWidth="1"/>
    <col min="6149" max="6149" width="11.08203125" style="153" customWidth="1"/>
    <col min="6150" max="6150" width="12.33203125" style="153" customWidth="1"/>
    <col min="6151" max="6151" width="9.75" style="153" customWidth="1"/>
    <col min="6152" max="6152" width="11.83203125" style="153" customWidth="1"/>
    <col min="6153" max="6153" width="6.25" style="153" customWidth="1"/>
    <col min="6154" max="6400" width="8.6640625" style="153"/>
    <col min="6401" max="6401" width="2" style="153" customWidth="1"/>
    <col min="6402" max="6402" width="18.33203125" style="153" customWidth="1"/>
    <col min="6403" max="6403" width="10.25" style="153" customWidth="1"/>
    <col min="6404" max="6404" width="10.33203125" style="153" customWidth="1"/>
    <col min="6405" max="6405" width="11.08203125" style="153" customWidth="1"/>
    <col min="6406" max="6406" width="12.33203125" style="153" customWidth="1"/>
    <col min="6407" max="6407" width="9.75" style="153" customWidth="1"/>
    <col min="6408" max="6408" width="11.83203125" style="153" customWidth="1"/>
    <col min="6409" max="6409" width="6.25" style="153" customWidth="1"/>
    <col min="6410" max="6656" width="8.6640625" style="153"/>
    <col min="6657" max="6657" width="2" style="153" customWidth="1"/>
    <col min="6658" max="6658" width="18.33203125" style="153" customWidth="1"/>
    <col min="6659" max="6659" width="10.25" style="153" customWidth="1"/>
    <col min="6660" max="6660" width="10.33203125" style="153" customWidth="1"/>
    <col min="6661" max="6661" width="11.08203125" style="153" customWidth="1"/>
    <col min="6662" max="6662" width="12.33203125" style="153" customWidth="1"/>
    <col min="6663" max="6663" width="9.75" style="153" customWidth="1"/>
    <col min="6664" max="6664" width="11.83203125" style="153" customWidth="1"/>
    <col min="6665" max="6665" width="6.25" style="153" customWidth="1"/>
    <col min="6666" max="6912" width="8.6640625" style="153"/>
    <col min="6913" max="6913" width="2" style="153" customWidth="1"/>
    <col min="6914" max="6914" width="18.33203125" style="153" customWidth="1"/>
    <col min="6915" max="6915" width="10.25" style="153" customWidth="1"/>
    <col min="6916" max="6916" width="10.33203125" style="153" customWidth="1"/>
    <col min="6917" max="6917" width="11.08203125" style="153" customWidth="1"/>
    <col min="6918" max="6918" width="12.33203125" style="153" customWidth="1"/>
    <col min="6919" max="6919" width="9.75" style="153" customWidth="1"/>
    <col min="6920" max="6920" width="11.83203125" style="153" customWidth="1"/>
    <col min="6921" max="6921" width="6.25" style="153" customWidth="1"/>
    <col min="6922" max="7168" width="8.6640625" style="153"/>
    <col min="7169" max="7169" width="2" style="153" customWidth="1"/>
    <col min="7170" max="7170" width="18.33203125" style="153" customWidth="1"/>
    <col min="7171" max="7171" width="10.25" style="153" customWidth="1"/>
    <col min="7172" max="7172" width="10.33203125" style="153" customWidth="1"/>
    <col min="7173" max="7173" width="11.08203125" style="153" customWidth="1"/>
    <col min="7174" max="7174" width="12.33203125" style="153" customWidth="1"/>
    <col min="7175" max="7175" width="9.75" style="153" customWidth="1"/>
    <col min="7176" max="7176" width="11.83203125" style="153" customWidth="1"/>
    <col min="7177" max="7177" width="6.25" style="153" customWidth="1"/>
    <col min="7178" max="7424" width="8.6640625" style="153"/>
    <col min="7425" max="7425" width="2" style="153" customWidth="1"/>
    <col min="7426" max="7426" width="18.33203125" style="153" customWidth="1"/>
    <col min="7427" max="7427" width="10.25" style="153" customWidth="1"/>
    <col min="7428" max="7428" width="10.33203125" style="153" customWidth="1"/>
    <col min="7429" max="7429" width="11.08203125" style="153" customWidth="1"/>
    <col min="7430" max="7430" width="12.33203125" style="153" customWidth="1"/>
    <col min="7431" max="7431" width="9.75" style="153" customWidth="1"/>
    <col min="7432" max="7432" width="11.83203125" style="153" customWidth="1"/>
    <col min="7433" max="7433" width="6.25" style="153" customWidth="1"/>
    <col min="7434" max="7680" width="8.6640625" style="153"/>
    <col min="7681" max="7681" width="2" style="153" customWidth="1"/>
    <col min="7682" max="7682" width="18.33203125" style="153" customWidth="1"/>
    <col min="7683" max="7683" width="10.25" style="153" customWidth="1"/>
    <col min="7684" max="7684" width="10.33203125" style="153" customWidth="1"/>
    <col min="7685" max="7685" width="11.08203125" style="153" customWidth="1"/>
    <col min="7686" max="7686" width="12.33203125" style="153" customWidth="1"/>
    <col min="7687" max="7687" width="9.75" style="153" customWidth="1"/>
    <col min="7688" max="7688" width="11.83203125" style="153" customWidth="1"/>
    <col min="7689" max="7689" width="6.25" style="153" customWidth="1"/>
    <col min="7690" max="7936" width="8.6640625" style="153"/>
    <col min="7937" max="7937" width="2" style="153" customWidth="1"/>
    <col min="7938" max="7938" width="18.33203125" style="153" customWidth="1"/>
    <col min="7939" max="7939" width="10.25" style="153" customWidth="1"/>
    <col min="7940" max="7940" width="10.33203125" style="153" customWidth="1"/>
    <col min="7941" max="7941" width="11.08203125" style="153" customWidth="1"/>
    <col min="7942" max="7942" width="12.33203125" style="153" customWidth="1"/>
    <col min="7943" max="7943" width="9.75" style="153" customWidth="1"/>
    <col min="7944" max="7944" width="11.83203125" style="153" customWidth="1"/>
    <col min="7945" max="7945" width="6.25" style="153" customWidth="1"/>
    <col min="7946" max="8192" width="8.6640625" style="153"/>
    <col min="8193" max="8193" width="2" style="153" customWidth="1"/>
    <col min="8194" max="8194" width="18.33203125" style="153" customWidth="1"/>
    <col min="8195" max="8195" width="10.25" style="153" customWidth="1"/>
    <col min="8196" max="8196" width="10.33203125" style="153" customWidth="1"/>
    <col min="8197" max="8197" width="11.08203125" style="153" customWidth="1"/>
    <col min="8198" max="8198" width="12.33203125" style="153" customWidth="1"/>
    <col min="8199" max="8199" width="9.75" style="153" customWidth="1"/>
    <col min="8200" max="8200" width="11.83203125" style="153" customWidth="1"/>
    <col min="8201" max="8201" width="6.25" style="153" customWidth="1"/>
    <col min="8202" max="8448" width="8.6640625" style="153"/>
    <col min="8449" max="8449" width="2" style="153" customWidth="1"/>
    <col min="8450" max="8450" width="18.33203125" style="153" customWidth="1"/>
    <col min="8451" max="8451" width="10.25" style="153" customWidth="1"/>
    <col min="8452" max="8452" width="10.33203125" style="153" customWidth="1"/>
    <col min="8453" max="8453" width="11.08203125" style="153" customWidth="1"/>
    <col min="8454" max="8454" width="12.33203125" style="153" customWidth="1"/>
    <col min="8455" max="8455" width="9.75" style="153" customWidth="1"/>
    <col min="8456" max="8456" width="11.83203125" style="153" customWidth="1"/>
    <col min="8457" max="8457" width="6.25" style="153" customWidth="1"/>
    <col min="8458" max="8704" width="8.6640625" style="153"/>
    <col min="8705" max="8705" width="2" style="153" customWidth="1"/>
    <col min="8706" max="8706" width="18.33203125" style="153" customWidth="1"/>
    <col min="8707" max="8707" width="10.25" style="153" customWidth="1"/>
    <col min="8708" max="8708" width="10.33203125" style="153" customWidth="1"/>
    <col min="8709" max="8709" width="11.08203125" style="153" customWidth="1"/>
    <col min="8710" max="8710" width="12.33203125" style="153" customWidth="1"/>
    <col min="8711" max="8711" width="9.75" style="153" customWidth="1"/>
    <col min="8712" max="8712" width="11.83203125" style="153" customWidth="1"/>
    <col min="8713" max="8713" width="6.25" style="153" customWidth="1"/>
    <col min="8714" max="8960" width="8.6640625" style="153"/>
    <col min="8961" max="8961" width="2" style="153" customWidth="1"/>
    <col min="8962" max="8962" width="18.33203125" style="153" customWidth="1"/>
    <col min="8963" max="8963" width="10.25" style="153" customWidth="1"/>
    <col min="8964" max="8964" width="10.33203125" style="153" customWidth="1"/>
    <col min="8965" max="8965" width="11.08203125" style="153" customWidth="1"/>
    <col min="8966" max="8966" width="12.33203125" style="153" customWidth="1"/>
    <col min="8967" max="8967" width="9.75" style="153" customWidth="1"/>
    <col min="8968" max="8968" width="11.83203125" style="153" customWidth="1"/>
    <col min="8969" max="8969" width="6.25" style="153" customWidth="1"/>
    <col min="8970" max="9216" width="8.6640625" style="153"/>
    <col min="9217" max="9217" width="2" style="153" customWidth="1"/>
    <col min="9218" max="9218" width="18.33203125" style="153" customWidth="1"/>
    <col min="9219" max="9219" width="10.25" style="153" customWidth="1"/>
    <col min="9220" max="9220" width="10.33203125" style="153" customWidth="1"/>
    <col min="9221" max="9221" width="11.08203125" style="153" customWidth="1"/>
    <col min="9222" max="9222" width="12.33203125" style="153" customWidth="1"/>
    <col min="9223" max="9223" width="9.75" style="153" customWidth="1"/>
    <col min="9224" max="9224" width="11.83203125" style="153" customWidth="1"/>
    <col min="9225" max="9225" width="6.25" style="153" customWidth="1"/>
    <col min="9226" max="9472" width="8.6640625" style="153"/>
    <col min="9473" max="9473" width="2" style="153" customWidth="1"/>
    <col min="9474" max="9474" width="18.33203125" style="153" customWidth="1"/>
    <col min="9475" max="9475" width="10.25" style="153" customWidth="1"/>
    <col min="9476" max="9476" width="10.33203125" style="153" customWidth="1"/>
    <col min="9477" max="9477" width="11.08203125" style="153" customWidth="1"/>
    <col min="9478" max="9478" width="12.33203125" style="153" customWidth="1"/>
    <col min="9479" max="9479" width="9.75" style="153" customWidth="1"/>
    <col min="9480" max="9480" width="11.83203125" style="153" customWidth="1"/>
    <col min="9481" max="9481" width="6.25" style="153" customWidth="1"/>
    <col min="9482" max="9728" width="8.6640625" style="153"/>
    <col min="9729" max="9729" width="2" style="153" customWidth="1"/>
    <col min="9730" max="9730" width="18.33203125" style="153" customWidth="1"/>
    <col min="9731" max="9731" width="10.25" style="153" customWidth="1"/>
    <col min="9732" max="9732" width="10.33203125" style="153" customWidth="1"/>
    <col min="9733" max="9733" width="11.08203125" style="153" customWidth="1"/>
    <col min="9734" max="9734" width="12.33203125" style="153" customWidth="1"/>
    <col min="9735" max="9735" width="9.75" style="153" customWidth="1"/>
    <col min="9736" max="9736" width="11.83203125" style="153" customWidth="1"/>
    <col min="9737" max="9737" width="6.25" style="153" customWidth="1"/>
    <col min="9738" max="9984" width="8.6640625" style="153"/>
    <col min="9985" max="9985" width="2" style="153" customWidth="1"/>
    <col min="9986" max="9986" width="18.33203125" style="153" customWidth="1"/>
    <col min="9987" max="9987" width="10.25" style="153" customWidth="1"/>
    <col min="9988" max="9988" width="10.33203125" style="153" customWidth="1"/>
    <col min="9989" max="9989" width="11.08203125" style="153" customWidth="1"/>
    <col min="9990" max="9990" width="12.33203125" style="153" customWidth="1"/>
    <col min="9991" max="9991" width="9.75" style="153" customWidth="1"/>
    <col min="9992" max="9992" width="11.83203125" style="153" customWidth="1"/>
    <col min="9993" max="9993" width="6.25" style="153" customWidth="1"/>
    <col min="9994" max="10240" width="8.6640625" style="153"/>
    <col min="10241" max="10241" width="2" style="153" customWidth="1"/>
    <col min="10242" max="10242" width="18.33203125" style="153" customWidth="1"/>
    <col min="10243" max="10243" width="10.25" style="153" customWidth="1"/>
    <col min="10244" max="10244" width="10.33203125" style="153" customWidth="1"/>
    <col min="10245" max="10245" width="11.08203125" style="153" customWidth="1"/>
    <col min="10246" max="10246" width="12.33203125" style="153" customWidth="1"/>
    <col min="10247" max="10247" width="9.75" style="153" customWidth="1"/>
    <col min="10248" max="10248" width="11.83203125" style="153" customWidth="1"/>
    <col min="10249" max="10249" width="6.25" style="153" customWidth="1"/>
    <col min="10250" max="10496" width="8.6640625" style="153"/>
    <col min="10497" max="10497" width="2" style="153" customWidth="1"/>
    <col min="10498" max="10498" width="18.33203125" style="153" customWidth="1"/>
    <col min="10499" max="10499" width="10.25" style="153" customWidth="1"/>
    <col min="10500" max="10500" width="10.33203125" style="153" customWidth="1"/>
    <col min="10501" max="10501" width="11.08203125" style="153" customWidth="1"/>
    <col min="10502" max="10502" width="12.33203125" style="153" customWidth="1"/>
    <col min="10503" max="10503" width="9.75" style="153" customWidth="1"/>
    <col min="10504" max="10504" width="11.83203125" style="153" customWidth="1"/>
    <col min="10505" max="10505" width="6.25" style="153" customWidth="1"/>
    <col min="10506" max="10752" width="8.6640625" style="153"/>
    <col min="10753" max="10753" width="2" style="153" customWidth="1"/>
    <col min="10754" max="10754" width="18.33203125" style="153" customWidth="1"/>
    <col min="10755" max="10755" width="10.25" style="153" customWidth="1"/>
    <col min="10756" max="10756" width="10.33203125" style="153" customWidth="1"/>
    <col min="10757" max="10757" width="11.08203125" style="153" customWidth="1"/>
    <col min="10758" max="10758" width="12.33203125" style="153" customWidth="1"/>
    <col min="10759" max="10759" width="9.75" style="153" customWidth="1"/>
    <col min="10760" max="10760" width="11.83203125" style="153" customWidth="1"/>
    <col min="10761" max="10761" width="6.25" style="153" customWidth="1"/>
    <col min="10762" max="11008" width="8.6640625" style="153"/>
    <col min="11009" max="11009" width="2" style="153" customWidth="1"/>
    <col min="11010" max="11010" width="18.33203125" style="153" customWidth="1"/>
    <col min="11011" max="11011" width="10.25" style="153" customWidth="1"/>
    <col min="11012" max="11012" width="10.33203125" style="153" customWidth="1"/>
    <col min="11013" max="11013" width="11.08203125" style="153" customWidth="1"/>
    <col min="11014" max="11014" width="12.33203125" style="153" customWidth="1"/>
    <col min="11015" max="11015" width="9.75" style="153" customWidth="1"/>
    <col min="11016" max="11016" width="11.83203125" style="153" customWidth="1"/>
    <col min="11017" max="11017" width="6.25" style="153" customWidth="1"/>
    <col min="11018" max="11264" width="8.6640625" style="153"/>
    <col min="11265" max="11265" width="2" style="153" customWidth="1"/>
    <col min="11266" max="11266" width="18.33203125" style="153" customWidth="1"/>
    <col min="11267" max="11267" width="10.25" style="153" customWidth="1"/>
    <col min="11268" max="11268" width="10.33203125" style="153" customWidth="1"/>
    <col min="11269" max="11269" width="11.08203125" style="153" customWidth="1"/>
    <col min="11270" max="11270" width="12.33203125" style="153" customWidth="1"/>
    <col min="11271" max="11271" width="9.75" style="153" customWidth="1"/>
    <col min="11272" max="11272" width="11.83203125" style="153" customWidth="1"/>
    <col min="11273" max="11273" width="6.25" style="153" customWidth="1"/>
    <col min="11274" max="11520" width="8.6640625" style="153"/>
    <col min="11521" max="11521" width="2" style="153" customWidth="1"/>
    <col min="11522" max="11522" width="18.33203125" style="153" customWidth="1"/>
    <col min="11523" max="11523" width="10.25" style="153" customWidth="1"/>
    <col min="11524" max="11524" width="10.33203125" style="153" customWidth="1"/>
    <col min="11525" max="11525" width="11.08203125" style="153" customWidth="1"/>
    <col min="11526" max="11526" width="12.33203125" style="153" customWidth="1"/>
    <col min="11527" max="11527" width="9.75" style="153" customWidth="1"/>
    <col min="11528" max="11528" width="11.83203125" style="153" customWidth="1"/>
    <col min="11529" max="11529" width="6.25" style="153" customWidth="1"/>
    <col min="11530" max="11776" width="8.6640625" style="153"/>
    <col min="11777" max="11777" width="2" style="153" customWidth="1"/>
    <col min="11778" max="11778" width="18.33203125" style="153" customWidth="1"/>
    <col min="11779" max="11779" width="10.25" style="153" customWidth="1"/>
    <col min="11780" max="11780" width="10.33203125" style="153" customWidth="1"/>
    <col min="11781" max="11781" width="11.08203125" style="153" customWidth="1"/>
    <col min="11782" max="11782" width="12.33203125" style="153" customWidth="1"/>
    <col min="11783" max="11783" width="9.75" style="153" customWidth="1"/>
    <col min="11784" max="11784" width="11.83203125" style="153" customWidth="1"/>
    <col min="11785" max="11785" width="6.25" style="153" customWidth="1"/>
    <col min="11786" max="12032" width="8.6640625" style="153"/>
    <col min="12033" max="12033" width="2" style="153" customWidth="1"/>
    <col min="12034" max="12034" width="18.33203125" style="153" customWidth="1"/>
    <col min="12035" max="12035" width="10.25" style="153" customWidth="1"/>
    <col min="12036" max="12036" width="10.33203125" style="153" customWidth="1"/>
    <col min="12037" max="12037" width="11.08203125" style="153" customWidth="1"/>
    <col min="12038" max="12038" width="12.33203125" style="153" customWidth="1"/>
    <col min="12039" max="12039" width="9.75" style="153" customWidth="1"/>
    <col min="12040" max="12040" width="11.83203125" style="153" customWidth="1"/>
    <col min="12041" max="12041" width="6.25" style="153" customWidth="1"/>
    <col min="12042" max="12288" width="8.6640625" style="153"/>
    <col min="12289" max="12289" width="2" style="153" customWidth="1"/>
    <col min="12290" max="12290" width="18.33203125" style="153" customWidth="1"/>
    <col min="12291" max="12291" width="10.25" style="153" customWidth="1"/>
    <col min="12292" max="12292" width="10.33203125" style="153" customWidth="1"/>
    <col min="12293" max="12293" width="11.08203125" style="153" customWidth="1"/>
    <col min="12294" max="12294" width="12.33203125" style="153" customWidth="1"/>
    <col min="12295" max="12295" width="9.75" style="153" customWidth="1"/>
    <col min="12296" max="12296" width="11.83203125" style="153" customWidth="1"/>
    <col min="12297" max="12297" width="6.25" style="153" customWidth="1"/>
    <col min="12298" max="12544" width="8.6640625" style="153"/>
    <col min="12545" max="12545" width="2" style="153" customWidth="1"/>
    <col min="12546" max="12546" width="18.33203125" style="153" customWidth="1"/>
    <col min="12547" max="12547" width="10.25" style="153" customWidth="1"/>
    <col min="12548" max="12548" width="10.33203125" style="153" customWidth="1"/>
    <col min="12549" max="12549" width="11.08203125" style="153" customWidth="1"/>
    <col min="12550" max="12550" width="12.33203125" style="153" customWidth="1"/>
    <col min="12551" max="12551" width="9.75" style="153" customWidth="1"/>
    <col min="12552" max="12552" width="11.83203125" style="153" customWidth="1"/>
    <col min="12553" max="12553" width="6.25" style="153" customWidth="1"/>
    <col min="12554" max="12800" width="8.6640625" style="153"/>
    <col min="12801" max="12801" width="2" style="153" customWidth="1"/>
    <col min="12802" max="12802" width="18.33203125" style="153" customWidth="1"/>
    <col min="12803" max="12803" width="10.25" style="153" customWidth="1"/>
    <col min="12804" max="12804" width="10.33203125" style="153" customWidth="1"/>
    <col min="12805" max="12805" width="11.08203125" style="153" customWidth="1"/>
    <col min="12806" max="12806" width="12.33203125" style="153" customWidth="1"/>
    <col min="12807" max="12807" width="9.75" style="153" customWidth="1"/>
    <col min="12808" max="12808" width="11.83203125" style="153" customWidth="1"/>
    <col min="12809" max="12809" width="6.25" style="153" customWidth="1"/>
    <col min="12810" max="13056" width="8.6640625" style="153"/>
    <col min="13057" max="13057" width="2" style="153" customWidth="1"/>
    <col min="13058" max="13058" width="18.33203125" style="153" customWidth="1"/>
    <col min="13059" max="13059" width="10.25" style="153" customWidth="1"/>
    <col min="13060" max="13060" width="10.33203125" style="153" customWidth="1"/>
    <col min="13061" max="13061" width="11.08203125" style="153" customWidth="1"/>
    <col min="13062" max="13062" width="12.33203125" style="153" customWidth="1"/>
    <col min="13063" max="13063" width="9.75" style="153" customWidth="1"/>
    <col min="13064" max="13064" width="11.83203125" style="153" customWidth="1"/>
    <col min="13065" max="13065" width="6.25" style="153" customWidth="1"/>
    <col min="13066" max="13312" width="8.6640625" style="153"/>
    <col min="13313" max="13313" width="2" style="153" customWidth="1"/>
    <col min="13314" max="13314" width="18.33203125" style="153" customWidth="1"/>
    <col min="13315" max="13315" width="10.25" style="153" customWidth="1"/>
    <col min="13316" max="13316" width="10.33203125" style="153" customWidth="1"/>
    <col min="13317" max="13317" width="11.08203125" style="153" customWidth="1"/>
    <col min="13318" max="13318" width="12.33203125" style="153" customWidth="1"/>
    <col min="13319" max="13319" width="9.75" style="153" customWidth="1"/>
    <col min="13320" max="13320" width="11.83203125" style="153" customWidth="1"/>
    <col min="13321" max="13321" width="6.25" style="153" customWidth="1"/>
    <col min="13322" max="13568" width="8.6640625" style="153"/>
    <col min="13569" max="13569" width="2" style="153" customWidth="1"/>
    <col min="13570" max="13570" width="18.33203125" style="153" customWidth="1"/>
    <col min="13571" max="13571" width="10.25" style="153" customWidth="1"/>
    <col min="13572" max="13572" width="10.33203125" style="153" customWidth="1"/>
    <col min="13573" max="13573" width="11.08203125" style="153" customWidth="1"/>
    <col min="13574" max="13574" width="12.33203125" style="153" customWidth="1"/>
    <col min="13575" max="13575" width="9.75" style="153" customWidth="1"/>
    <col min="13576" max="13576" width="11.83203125" style="153" customWidth="1"/>
    <col min="13577" max="13577" width="6.25" style="153" customWidth="1"/>
    <col min="13578" max="13824" width="8.6640625" style="153"/>
    <col min="13825" max="13825" width="2" style="153" customWidth="1"/>
    <col min="13826" max="13826" width="18.33203125" style="153" customWidth="1"/>
    <col min="13827" max="13827" width="10.25" style="153" customWidth="1"/>
    <col min="13828" max="13828" width="10.33203125" style="153" customWidth="1"/>
    <col min="13829" max="13829" width="11.08203125" style="153" customWidth="1"/>
    <col min="13830" max="13830" width="12.33203125" style="153" customWidth="1"/>
    <col min="13831" max="13831" width="9.75" style="153" customWidth="1"/>
    <col min="13832" max="13832" width="11.83203125" style="153" customWidth="1"/>
    <col min="13833" max="13833" width="6.25" style="153" customWidth="1"/>
    <col min="13834" max="14080" width="8.6640625" style="153"/>
    <col min="14081" max="14081" width="2" style="153" customWidth="1"/>
    <col min="14082" max="14082" width="18.33203125" style="153" customWidth="1"/>
    <col min="14083" max="14083" width="10.25" style="153" customWidth="1"/>
    <col min="14084" max="14084" width="10.33203125" style="153" customWidth="1"/>
    <col min="14085" max="14085" width="11.08203125" style="153" customWidth="1"/>
    <col min="14086" max="14086" width="12.33203125" style="153" customWidth="1"/>
    <col min="14087" max="14087" width="9.75" style="153" customWidth="1"/>
    <col min="14088" max="14088" width="11.83203125" style="153" customWidth="1"/>
    <col min="14089" max="14089" width="6.25" style="153" customWidth="1"/>
    <col min="14090" max="14336" width="8.6640625" style="153"/>
    <col min="14337" max="14337" width="2" style="153" customWidth="1"/>
    <col min="14338" max="14338" width="18.33203125" style="153" customWidth="1"/>
    <col min="14339" max="14339" width="10.25" style="153" customWidth="1"/>
    <col min="14340" max="14340" width="10.33203125" style="153" customWidth="1"/>
    <col min="14341" max="14341" width="11.08203125" style="153" customWidth="1"/>
    <col min="14342" max="14342" width="12.33203125" style="153" customWidth="1"/>
    <col min="14343" max="14343" width="9.75" style="153" customWidth="1"/>
    <col min="14344" max="14344" width="11.83203125" style="153" customWidth="1"/>
    <col min="14345" max="14345" width="6.25" style="153" customWidth="1"/>
    <col min="14346" max="14592" width="8.6640625" style="153"/>
    <col min="14593" max="14593" width="2" style="153" customWidth="1"/>
    <col min="14594" max="14594" width="18.33203125" style="153" customWidth="1"/>
    <col min="14595" max="14595" width="10.25" style="153" customWidth="1"/>
    <col min="14596" max="14596" width="10.33203125" style="153" customWidth="1"/>
    <col min="14597" max="14597" width="11.08203125" style="153" customWidth="1"/>
    <col min="14598" max="14598" width="12.33203125" style="153" customWidth="1"/>
    <col min="14599" max="14599" width="9.75" style="153" customWidth="1"/>
    <col min="14600" max="14600" width="11.83203125" style="153" customWidth="1"/>
    <col min="14601" max="14601" width="6.25" style="153" customWidth="1"/>
    <col min="14602" max="14848" width="8.6640625" style="153"/>
    <col min="14849" max="14849" width="2" style="153" customWidth="1"/>
    <col min="14850" max="14850" width="18.33203125" style="153" customWidth="1"/>
    <col min="14851" max="14851" width="10.25" style="153" customWidth="1"/>
    <col min="14852" max="14852" width="10.33203125" style="153" customWidth="1"/>
    <col min="14853" max="14853" width="11.08203125" style="153" customWidth="1"/>
    <col min="14854" max="14854" width="12.33203125" style="153" customWidth="1"/>
    <col min="14855" max="14855" width="9.75" style="153" customWidth="1"/>
    <col min="14856" max="14856" width="11.83203125" style="153" customWidth="1"/>
    <col min="14857" max="14857" width="6.25" style="153" customWidth="1"/>
    <col min="14858" max="15104" width="8.6640625" style="153"/>
    <col min="15105" max="15105" width="2" style="153" customWidth="1"/>
    <col min="15106" max="15106" width="18.33203125" style="153" customWidth="1"/>
    <col min="15107" max="15107" width="10.25" style="153" customWidth="1"/>
    <col min="15108" max="15108" width="10.33203125" style="153" customWidth="1"/>
    <col min="15109" max="15109" width="11.08203125" style="153" customWidth="1"/>
    <col min="15110" max="15110" width="12.33203125" style="153" customWidth="1"/>
    <col min="15111" max="15111" width="9.75" style="153" customWidth="1"/>
    <col min="15112" max="15112" width="11.83203125" style="153" customWidth="1"/>
    <col min="15113" max="15113" width="6.25" style="153" customWidth="1"/>
    <col min="15114" max="15360" width="8.6640625" style="153"/>
    <col min="15361" max="15361" width="2" style="153" customWidth="1"/>
    <col min="15362" max="15362" width="18.33203125" style="153" customWidth="1"/>
    <col min="15363" max="15363" width="10.25" style="153" customWidth="1"/>
    <col min="15364" max="15364" width="10.33203125" style="153" customWidth="1"/>
    <col min="15365" max="15365" width="11.08203125" style="153" customWidth="1"/>
    <col min="15366" max="15366" width="12.33203125" style="153" customWidth="1"/>
    <col min="15367" max="15367" width="9.75" style="153" customWidth="1"/>
    <col min="15368" max="15368" width="11.83203125" style="153" customWidth="1"/>
    <col min="15369" max="15369" width="6.25" style="153" customWidth="1"/>
    <col min="15370" max="15616" width="8.6640625" style="153"/>
    <col min="15617" max="15617" width="2" style="153" customWidth="1"/>
    <col min="15618" max="15618" width="18.33203125" style="153" customWidth="1"/>
    <col min="15619" max="15619" width="10.25" style="153" customWidth="1"/>
    <col min="15620" max="15620" width="10.33203125" style="153" customWidth="1"/>
    <col min="15621" max="15621" width="11.08203125" style="153" customWidth="1"/>
    <col min="15622" max="15622" width="12.33203125" style="153" customWidth="1"/>
    <col min="15623" max="15623" width="9.75" style="153" customWidth="1"/>
    <col min="15624" max="15624" width="11.83203125" style="153" customWidth="1"/>
    <col min="15625" max="15625" width="6.25" style="153" customWidth="1"/>
    <col min="15626" max="15872" width="8.6640625" style="153"/>
    <col min="15873" max="15873" width="2" style="153" customWidth="1"/>
    <col min="15874" max="15874" width="18.33203125" style="153" customWidth="1"/>
    <col min="15875" max="15875" width="10.25" style="153" customWidth="1"/>
    <col min="15876" max="15876" width="10.33203125" style="153" customWidth="1"/>
    <col min="15877" max="15877" width="11.08203125" style="153" customWidth="1"/>
    <col min="15878" max="15878" width="12.33203125" style="153" customWidth="1"/>
    <col min="15879" max="15879" width="9.75" style="153" customWidth="1"/>
    <col min="15880" max="15880" width="11.83203125" style="153" customWidth="1"/>
    <col min="15881" max="15881" width="6.25" style="153" customWidth="1"/>
    <col min="15882" max="16128" width="8.6640625" style="153"/>
    <col min="16129" max="16129" width="2" style="153" customWidth="1"/>
    <col min="16130" max="16130" width="18.33203125" style="153" customWidth="1"/>
    <col min="16131" max="16131" width="10.25" style="153" customWidth="1"/>
    <col min="16132" max="16132" width="10.33203125" style="153" customWidth="1"/>
    <col min="16133" max="16133" width="11.08203125" style="153" customWidth="1"/>
    <col min="16134" max="16134" width="12.33203125" style="153" customWidth="1"/>
    <col min="16135" max="16135" width="9.75" style="153" customWidth="1"/>
    <col min="16136" max="16136" width="11.83203125" style="153" customWidth="1"/>
    <col min="16137" max="16137" width="6.25" style="153" customWidth="1"/>
    <col min="16138" max="16384" width="8.6640625" style="153"/>
  </cols>
  <sheetData>
    <row r="2" spans="2:11" x14ac:dyDescent="0.35">
      <c r="D2" s="154" t="s">
        <v>178</v>
      </c>
      <c r="I2" s="155" t="s">
        <v>0</v>
      </c>
      <c r="K2" s="156"/>
    </row>
    <row r="3" spans="2:11" x14ac:dyDescent="0.35">
      <c r="K3" s="156"/>
    </row>
    <row r="4" spans="2:11" x14ac:dyDescent="0.35">
      <c r="K4" s="156"/>
    </row>
    <row r="5" spans="2:11" x14ac:dyDescent="0.35">
      <c r="B5" s="157" t="s">
        <v>179</v>
      </c>
    </row>
    <row r="6" spans="2:11" x14ac:dyDescent="0.35">
      <c r="B6" s="153" t="s">
        <v>180</v>
      </c>
      <c r="C6" s="114">
        <v>300000</v>
      </c>
    </row>
    <row r="7" spans="2:11" x14ac:dyDescent="0.35">
      <c r="B7" s="153" t="s">
        <v>181</v>
      </c>
      <c r="C7" s="158">
        <v>0.03</v>
      </c>
    </row>
    <row r="8" spans="2:11" x14ac:dyDescent="0.35">
      <c r="B8" s="153" t="s">
        <v>182</v>
      </c>
      <c r="C8" s="158">
        <v>0.05</v>
      </c>
    </row>
    <row r="10" spans="2:11" x14ac:dyDescent="0.35">
      <c r="B10" s="157" t="s">
        <v>70</v>
      </c>
      <c r="C10" s="157" t="s">
        <v>183</v>
      </c>
      <c r="D10" s="157" t="s">
        <v>184</v>
      </c>
      <c r="E10" s="157" t="s">
        <v>185</v>
      </c>
      <c r="F10" s="157"/>
      <c r="G10" s="157"/>
      <c r="I10" s="155">
        <v>3</v>
      </c>
    </row>
    <row r="11" spans="2:11" x14ac:dyDescent="0.35">
      <c r="B11" s="159" t="s">
        <v>177</v>
      </c>
      <c r="C11" s="114">
        <f>+$C$7*$C$6</f>
        <v>9000</v>
      </c>
      <c r="D11" s="160">
        <f>(1+$C$8)^F11</f>
        <v>1.05</v>
      </c>
      <c r="E11" s="161">
        <f>+C11/D11</f>
        <v>8571.4285714285706</v>
      </c>
      <c r="F11" s="161">
        <v>1</v>
      </c>
      <c r="G11" s="157"/>
    </row>
    <row r="12" spans="2:11" x14ac:dyDescent="0.35">
      <c r="B12" s="159" t="s">
        <v>186</v>
      </c>
      <c r="C12" s="114">
        <f>+$C$7*$C$6</f>
        <v>9000</v>
      </c>
      <c r="D12" s="160">
        <f>(1+$C$8)^F12</f>
        <v>1.1025</v>
      </c>
      <c r="E12" s="161">
        <f>+C12/D12</f>
        <v>8163.2653061224491</v>
      </c>
      <c r="F12" s="161">
        <v>2</v>
      </c>
      <c r="G12" s="161"/>
    </row>
    <row r="13" spans="2:11" ht="18.5" x14ac:dyDescent="0.65">
      <c r="B13" s="159" t="s">
        <v>187</v>
      </c>
      <c r="C13" s="114">
        <f>+C12+C6</f>
        <v>309000</v>
      </c>
      <c r="D13" s="160">
        <f>(1+$C$8)^F13</f>
        <v>1.1576250000000001</v>
      </c>
      <c r="E13" s="162">
        <f>+C13/D13</f>
        <v>266925.8179462261</v>
      </c>
      <c r="F13" s="161">
        <v>3</v>
      </c>
      <c r="G13" s="161"/>
    </row>
    <row r="14" spans="2:11" x14ac:dyDescent="0.35">
      <c r="B14" s="159"/>
      <c r="E14" s="163">
        <f>SUM(E11:E13)</f>
        <v>283660.51182377711</v>
      </c>
      <c r="F14" s="161" t="s">
        <v>188</v>
      </c>
      <c r="G14" s="161"/>
    </row>
    <row r="15" spans="2:11" x14ac:dyDescent="0.35">
      <c r="B15" s="159"/>
      <c r="E15" s="163"/>
      <c r="F15" s="161"/>
      <c r="G15" s="161"/>
    </row>
    <row r="16" spans="2:11" x14ac:dyDescent="0.35">
      <c r="B16" s="164" t="s">
        <v>189</v>
      </c>
      <c r="E16" s="163"/>
      <c r="F16" s="161"/>
      <c r="G16" s="161"/>
    </row>
    <row r="17" spans="2:9" x14ac:dyDescent="0.35">
      <c r="B17" s="159"/>
      <c r="E17" s="163"/>
      <c r="F17" s="161"/>
      <c r="G17" s="161"/>
    </row>
    <row r="18" spans="2:9" x14ac:dyDescent="0.35">
      <c r="B18" s="159" t="s">
        <v>15</v>
      </c>
      <c r="C18" s="165">
        <f>E14</f>
        <v>283660.51182377711</v>
      </c>
      <c r="E18" s="163"/>
      <c r="F18" s="161"/>
      <c r="G18" s="161"/>
    </row>
    <row r="19" spans="2:9" x14ac:dyDescent="0.35">
      <c r="B19" s="159" t="s">
        <v>190</v>
      </c>
      <c r="C19" s="165">
        <f>C20-C18</f>
        <v>16339.488176222891</v>
      </c>
      <c r="E19" s="163"/>
      <c r="F19" s="161"/>
      <c r="G19" s="161"/>
      <c r="I19" s="155">
        <v>3</v>
      </c>
    </row>
    <row r="20" spans="2:9" x14ac:dyDescent="0.35">
      <c r="B20" s="159" t="s">
        <v>191</v>
      </c>
      <c r="C20" s="165">
        <f>C6</f>
        <v>300000</v>
      </c>
      <c r="E20" s="163"/>
      <c r="F20" s="161"/>
      <c r="G20" s="161"/>
    </row>
    <row r="21" spans="2:9" x14ac:dyDescent="0.35">
      <c r="B21" s="159"/>
      <c r="E21" s="163"/>
      <c r="F21" s="161"/>
      <c r="G21" s="161"/>
    </row>
    <row r="22" spans="2:9" hidden="1" x14ac:dyDescent="0.35">
      <c r="C22" s="166" t="s">
        <v>121</v>
      </c>
      <c r="D22" s="166" t="s">
        <v>122</v>
      </c>
    </row>
    <row r="23" spans="2:9" hidden="1" x14ac:dyDescent="0.35">
      <c r="B23" s="153" t="s">
        <v>192</v>
      </c>
      <c r="C23" s="165">
        <f>+E14</f>
        <v>283660.51182377711</v>
      </c>
      <c r="E23" s="153" t="s">
        <v>193</v>
      </c>
    </row>
    <row r="24" spans="2:9" hidden="1" x14ac:dyDescent="0.35">
      <c r="B24" s="153" t="s">
        <v>8</v>
      </c>
      <c r="D24" s="165">
        <f>C23-D25</f>
        <v>-16339.488176222891</v>
      </c>
    </row>
    <row r="25" spans="2:9" hidden="1" x14ac:dyDescent="0.35">
      <c r="B25" s="153" t="s">
        <v>194</v>
      </c>
      <c r="D25" s="153">
        <f>+C6</f>
        <v>300000</v>
      </c>
    </row>
    <row r="27" spans="2:9" x14ac:dyDescent="0.35">
      <c r="B27" s="157" t="s">
        <v>195</v>
      </c>
    </row>
    <row r="28" spans="2:9" x14ac:dyDescent="0.35">
      <c r="C28" s="154" t="s">
        <v>29</v>
      </c>
      <c r="D28" s="154" t="s">
        <v>129</v>
      </c>
      <c r="E28" s="154" t="s">
        <v>25</v>
      </c>
      <c r="F28" s="154" t="s">
        <v>196</v>
      </c>
      <c r="G28" s="154" t="s">
        <v>197</v>
      </c>
      <c r="H28" s="154" t="s">
        <v>103</v>
      </c>
    </row>
    <row r="29" spans="2:9" x14ac:dyDescent="0.35">
      <c r="B29" s="159">
        <v>2015</v>
      </c>
      <c r="C29" s="161"/>
      <c r="G29" s="165">
        <f>+D24</f>
        <v>-16339.488176222891</v>
      </c>
      <c r="H29" s="165">
        <f>+C23</f>
        <v>283660.51182377711</v>
      </c>
    </row>
    <row r="30" spans="2:9" x14ac:dyDescent="0.35">
      <c r="B30" s="159">
        <v>2016</v>
      </c>
      <c r="C30" s="165">
        <f>+H29</f>
        <v>283660.51182377711</v>
      </c>
      <c r="D30" s="161">
        <f>+C30*$C$8</f>
        <v>14183.025591188856</v>
      </c>
      <c r="E30" s="161">
        <f>+C11</f>
        <v>9000</v>
      </c>
      <c r="F30" s="161">
        <f>E30-D30</f>
        <v>-5183.0255911888562</v>
      </c>
      <c r="G30" s="161">
        <f>+G29-F30</f>
        <v>-11156.462585034034</v>
      </c>
      <c r="H30" s="161">
        <f>C30-F30</f>
        <v>288843.53741496598</v>
      </c>
    </row>
    <row r="31" spans="2:9" x14ac:dyDescent="0.35">
      <c r="B31" s="159">
        <v>2017</v>
      </c>
      <c r="C31" s="165">
        <f>+H30</f>
        <v>288843.53741496598</v>
      </c>
      <c r="D31" s="161">
        <f>+C31*$C$8</f>
        <v>14442.176870748299</v>
      </c>
      <c r="E31" s="161">
        <f>+C12</f>
        <v>9000</v>
      </c>
      <c r="F31" s="161">
        <f>E31-D31</f>
        <v>-5442.1768707482988</v>
      </c>
      <c r="G31" s="161">
        <f>+G30-F31</f>
        <v>-5714.2857142857356</v>
      </c>
      <c r="H31" s="161">
        <f>C31-F31</f>
        <v>294285.71428571426</v>
      </c>
      <c r="I31" s="155">
        <v>2</v>
      </c>
    </row>
    <row r="32" spans="2:9" hidden="1" x14ac:dyDescent="0.35">
      <c r="B32" s="159">
        <v>2018</v>
      </c>
      <c r="C32" s="165">
        <f t="shared" ref="C32:C33" si="0">+H31</f>
        <v>294285.71428571426</v>
      </c>
      <c r="D32" s="161">
        <f t="shared" ref="D32:D34" si="1">+C32*$C$8</f>
        <v>14714.285714285714</v>
      </c>
      <c r="E32" s="161">
        <f t="shared" ref="E32:E33" si="2">+C13</f>
        <v>309000</v>
      </c>
      <c r="F32" s="161">
        <f t="shared" ref="F32:F34" si="3">E32-D32</f>
        <v>294285.71428571426</v>
      </c>
      <c r="G32" s="161">
        <f t="shared" ref="G32:G34" si="4">+G31-F32</f>
        <v>-300000</v>
      </c>
      <c r="H32" s="161">
        <f t="shared" ref="H32:H34" si="5">C32-F32</f>
        <v>0</v>
      </c>
    </row>
    <row r="33" spans="2:9" hidden="1" x14ac:dyDescent="0.35">
      <c r="B33" s="159">
        <v>2019</v>
      </c>
      <c r="C33" s="165">
        <f t="shared" si="0"/>
        <v>0</v>
      </c>
      <c r="D33" s="161">
        <f t="shared" si="1"/>
        <v>0</v>
      </c>
      <c r="E33" s="161">
        <f t="shared" si="2"/>
        <v>0</v>
      </c>
      <c r="F33" s="161">
        <f t="shared" si="3"/>
        <v>0</v>
      </c>
      <c r="G33" s="161">
        <f t="shared" si="4"/>
        <v>-300000</v>
      </c>
      <c r="H33" s="161">
        <f t="shared" si="5"/>
        <v>0</v>
      </c>
    </row>
    <row r="34" spans="2:9" x14ac:dyDescent="0.35">
      <c r="B34" s="159">
        <v>2018</v>
      </c>
      <c r="C34" s="161">
        <f>H31</f>
        <v>294285.71428571426</v>
      </c>
      <c r="D34" s="161">
        <f t="shared" si="1"/>
        <v>14714.285714285714</v>
      </c>
      <c r="E34" s="161">
        <f>E31</f>
        <v>9000</v>
      </c>
      <c r="F34" s="161">
        <f t="shared" si="3"/>
        <v>-5714.2857142857138</v>
      </c>
      <c r="G34" s="161">
        <f t="shared" si="4"/>
        <v>-294285.71428571426</v>
      </c>
      <c r="H34" s="161">
        <f t="shared" si="5"/>
        <v>300000</v>
      </c>
    </row>
    <row r="35" spans="2:9" x14ac:dyDescent="0.35">
      <c r="B35" s="159"/>
      <c r="C35" s="161"/>
      <c r="D35" s="161"/>
      <c r="E35" s="161"/>
      <c r="F35" s="161"/>
      <c r="G35" s="161"/>
      <c r="H35" s="161"/>
    </row>
    <row r="36" spans="2:9" x14ac:dyDescent="0.35">
      <c r="C36" s="157" t="s">
        <v>198</v>
      </c>
      <c r="H36" s="167"/>
    </row>
    <row r="37" spans="2:9" x14ac:dyDescent="0.35">
      <c r="B37" s="153" t="s">
        <v>199</v>
      </c>
      <c r="C37" s="165">
        <f>C6</f>
        <v>300000</v>
      </c>
      <c r="H37" s="167"/>
    </row>
    <row r="38" spans="2:9" ht="18.5" x14ac:dyDescent="0.65">
      <c r="B38" s="153" t="s">
        <v>197</v>
      </c>
      <c r="C38" s="168">
        <f>G31</f>
        <v>-5714.2857142857356</v>
      </c>
      <c r="H38" s="167"/>
      <c r="I38" s="155">
        <v>3</v>
      </c>
    </row>
    <row r="39" spans="2:9" x14ac:dyDescent="0.35">
      <c r="B39" s="167" t="s">
        <v>214</v>
      </c>
      <c r="C39" s="169">
        <f>SUM(C37:C38)</f>
        <v>294285.71428571426</v>
      </c>
    </row>
    <row r="41" spans="2:9" x14ac:dyDescent="0.35">
      <c r="B41" s="157" t="s">
        <v>200</v>
      </c>
    </row>
    <row r="42" spans="2:9" x14ac:dyDescent="0.35">
      <c r="D42" s="114"/>
    </row>
    <row r="43" spans="2:9" x14ac:dyDescent="0.35">
      <c r="B43" s="159" t="s">
        <v>25</v>
      </c>
      <c r="C43" s="165">
        <f>E30</f>
        <v>9000</v>
      </c>
      <c r="I43" s="155">
        <v>5</v>
      </c>
    </row>
    <row r="44" spans="2:9" ht="18.5" x14ac:dyDescent="0.65">
      <c r="B44" s="159" t="s">
        <v>196</v>
      </c>
      <c r="C44" s="162">
        <f>-F31</f>
        <v>5442.1768707482988</v>
      </c>
    </row>
    <row r="45" spans="2:9" x14ac:dyDescent="0.35">
      <c r="B45" s="153" t="s">
        <v>201</v>
      </c>
      <c r="C45" s="165">
        <f>SUM(C43:C44)</f>
        <v>14442.176870748299</v>
      </c>
    </row>
    <row r="49" spans="2:9" x14ac:dyDescent="0.35">
      <c r="B49" s="157" t="s">
        <v>202</v>
      </c>
    </row>
    <row r="50" spans="2:9" x14ac:dyDescent="0.35">
      <c r="B50" s="157"/>
      <c r="C50" s="166" t="s">
        <v>203</v>
      </c>
      <c r="D50" s="166"/>
    </row>
    <row r="51" spans="2:9" x14ac:dyDescent="0.35">
      <c r="B51" s="153" t="s">
        <v>204</v>
      </c>
      <c r="C51" s="114">
        <f>-F34</f>
        <v>5714.2857142857138</v>
      </c>
      <c r="D51" s="153" t="s">
        <v>205</v>
      </c>
      <c r="I51" s="155">
        <v>2</v>
      </c>
    </row>
    <row r="52" spans="2:9" x14ac:dyDescent="0.35">
      <c r="B52" s="153" t="s">
        <v>25</v>
      </c>
      <c r="C52" s="114">
        <f>C43</f>
        <v>9000</v>
      </c>
      <c r="D52" s="153" t="s">
        <v>206</v>
      </c>
      <c r="I52" s="155">
        <v>2</v>
      </c>
    </row>
    <row r="56" spans="2:9" x14ac:dyDescent="0.35">
      <c r="H56" s="153" t="s">
        <v>1</v>
      </c>
      <c r="I56" s="155">
        <f>SUM(I4:I55)</f>
        <v>20</v>
      </c>
    </row>
  </sheetData>
  <pageMargins left="0.7" right="0.7" top="0.75" bottom="0.75" header="0.3" footer="0.3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9</vt:i4>
      </vt:variant>
      <vt:variant>
        <vt:lpstr>טווחים בעלי שם</vt:lpstr>
      </vt:variant>
      <vt:variant>
        <vt:i4>2</vt:i4>
      </vt:variant>
    </vt:vector>
  </HeadingPairs>
  <TitlesOfParts>
    <vt:vector size="11" baseType="lpstr">
      <vt:lpstr>כותרת</vt:lpstr>
      <vt:lpstr>שאלה 1 - דוח ת"מ</vt:lpstr>
      <vt:lpstr>שאלה 1 - ביאורים ת"מ</vt:lpstr>
      <vt:lpstr>יחסים פיננסיים</vt:lpstr>
      <vt:lpstr>שאלה 2 - השקעות</vt:lpstr>
      <vt:lpstr>שאלה 3 - ייחוס מיסים</vt:lpstr>
      <vt:lpstr>שאלה 4 - הון עצמי</vt:lpstr>
      <vt:lpstr>שאלה 5 - אגח</vt:lpstr>
      <vt:lpstr>שאלה 5 - אגח פתרון נוסף</vt:lpstr>
      <vt:lpstr>'שאלה 5 - אגח'!WPrint_Area_W</vt:lpstr>
      <vt:lpstr>'שאלה 5 - אגח פתרון נוסף'!WPrint_Area_W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2015-08-14T10:20:22Z</dcterms:modified>
</cp:coreProperties>
</file>