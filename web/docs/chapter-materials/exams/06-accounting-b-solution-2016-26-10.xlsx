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20" windowWidth="10800" windowHeight="7210" activeTab="3"/>
  </bookViews>
  <sheets>
    <sheet name="דוח ת&quot;מ" sheetId="5" r:id="rId1"/>
    <sheet name="ביאורים" sheetId="6" r:id="rId2"/>
    <sheet name="שאלה 2 - הון עצמי" sheetId="2" r:id="rId3"/>
    <sheet name="שאלה 3 - אגח" sheetId="9" r:id="rId4"/>
    <sheet name="שאלה 4 - שווי מאזני" sheetId="3" r:id="rId5"/>
  </sheets>
  <definedNames>
    <definedName name="_xlnm.Print_Area" localSheetId="3">'שאלה 3 - אגח'!$A$1:$H$54</definedName>
  </definedNames>
  <calcPr calcId="152511"/>
</workbook>
</file>

<file path=xl/calcChain.xml><?xml version="1.0" encoding="utf-8"?>
<calcChain xmlns="http://schemas.openxmlformats.org/spreadsheetml/2006/main">
  <c r="B35" i="3" l="1"/>
  <c r="B34" i="3"/>
  <c r="B33" i="3"/>
  <c r="G49" i="6" l="1"/>
  <c r="F41" i="5"/>
  <c r="D41" i="5"/>
  <c r="D15" i="6"/>
  <c r="G19" i="5"/>
  <c r="G29" i="5"/>
  <c r="D37" i="6"/>
  <c r="B36" i="6"/>
  <c r="D42" i="6"/>
  <c r="G27" i="5"/>
  <c r="B44" i="6"/>
  <c r="B43" i="6"/>
  <c r="D44" i="6"/>
  <c r="G15" i="5"/>
  <c r="B20" i="6"/>
  <c r="B21" i="6"/>
  <c r="F13" i="6"/>
  <c r="D14" i="6"/>
  <c r="B14" i="6"/>
  <c r="G7" i="5"/>
  <c r="G8" i="5"/>
  <c r="B12" i="5"/>
  <c r="B11" i="5"/>
  <c r="B8" i="6"/>
  <c r="D31" i="9" l="1"/>
  <c r="C10" i="9"/>
  <c r="B43" i="9"/>
  <c r="C24" i="9"/>
  <c r="B19" i="9"/>
  <c r="C12" i="9"/>
  <c r="C11" i="9"/>
  <c r="B10" i="9"/>
  <c r="D29" i="9" s="1"/>
  <c r="D32" i="9" s="1"/>
  <c r="C9" i="9"/>
  <c r="B9" i="9"/>
  <c r="B11" i="9" l="1"/>
  <c r="D9" i="9"/>
  <c r="D10" i="9"/>
  <c r="C37" i="9"/>
  <c r="D28" i="9"/>
  <c r="D30" i="9" l="1"/>
  <c r="D33" i="9" s="1"/>
  <c r="B12" i="9"/>
  <c r="D12" i="9" s="1"/>
  <c r="D11" i="9"/>
  <c r="C36" i="9"/>
  <c r="D13" i="9" l="1"/>
  <c r="B17" i="9" s="1"/>
  <c r="B18" i="9" s="1"/>
  <c r="B22" i="9" l="1"/>
  <c r="C23" i="9" l="1"/>
  <c r="G27" i="9"/>
  <c r="B28" i="9" s="1"/>
  <c r="C28" i="9" s="1"/>
  <c r="E28" i="9" s="1"/>
  <c r="F28" i="9" s="1"/>
  <c r="G28" i="9" s="1"/>
  <c r="B29" i="9" s="1"/>
  <c r="C29" i="9" s="1"/>
  <c r="E29" i="9" s="1"/>
  <c r="F29" i="9" l="1"/>
  <c r="C39" i="9"/>
  <c r="C40" i="9" s="1"/>
  <c r="B44" i="9" l="1"/>
  <c r="B45" i="9" s="1"/>
  <c r="G29" i="9"/>
  <c r="B30" i="9" l="1"/>
  <c r="C30" i="9" s="1"/>
  <c r="E30" i="9" s="1"/>
  <c r="F30" i="9" s="1"/>
  <c r="G30" i="9" s="1"/>
  <c r="B31" i="9" s="1"/>
  <c r="C31" i="9" s="1"/>
  <c r="B32" i="9"/>
  <c r="C32" i="9" s="1"/>
  <c r="E32" i="9" s="1"/>
  <c r="F32" i="9" s="1"/>
  <c r="G32" i="9" l="1"/>
  <c r="B33" i="9" s="1"/>
  <c r="C33" i="9" s="1"/>
  <c r="E33" i="9" s="1"/>
  <c r="F33" i="9" s="1"/>
  <c r="G33" i="9" s="1"/>
  <c r="E31" i="9"/>
  <c r="F31" i="9" s="1"/>
  <c r="G31" i="9" s="1"/>
  <c r="D41" i="3" l="1"/>
  <c r="B30" i="3"/>
  <c r="B24" i="3"/>
  <c r="B23" i="3"/>
  <c r="B22" i="3"/>
  <c r="B14" i="3"/>
  <c r="B13" i="3"/>
  <c r="B10" i="3"/>
  <c r="F40" i="2"/>
  <c r="D39" i="2"/>
  <c r="D40" i="2" s="1"/>
  <c r="B37" i="2"/>
  <c r="B22" i="2"/>
  <c r="C37" i="2" s="1"/>
  <c r="B36" i="2"/>
  <c r="B15" i="2"/>
  <c r="B16" i="2"/>
  <c r="E36" i="2" s="1"/>
  <c r="F35" i="2"/>
  <c r="E35" i="2"/>
  <c r="B34" i="2"/>
  <c r="B40" i="2" s="1"/>
  <c r="F33" i="2"/>
  <c r="B7" i="2"/>
  <c r="F37" i="2" l="1"/>
  <c r="F37" i="5"/>
  <c r="D37" i="5"/>
  <c r="B21" i="3" l="1"/>
  <c r="B31" i="3" l="1"/>
  <c r="H48" i="2"/>
  <c r="B25" i="2"/>
  <c r="B10" i="2"/>
  <c r="C33" i="2"/>
  <c r="C32" i="2"/>
  <c r="B18" i="2" l="1"/>
  <c r="C36" i="2" s="1"/>
  <c r="F36" i="2" s="1"/>
  <c r="E40" i="2"/>
  <c r="B11" i="3"/>
  <c r="B16" i="3" s="1"/>
  <c r="B15" i="3" s="1"/>
  <c r="B6" i="5"/>
  <c r="B8" i="5" s="1"/>
  <c r="D36" i="6"/>
  <c r="G28" i="5"/>
  <c r="B27" i="6"/>
  <c r="C34" i="2" l="1"/>
  <c r="C31" i="2" s="1"/>
  <c r="F31" i="2" s="1"/>
  <c r="B42" i="6" l="1"/>
  <c r="B20" i="5" s="1"/>
  <c r="B18" i="5"/>
  <c r="B21" i="5" s="1"/>
  <c r="B13" i="5"/>
  <c r="B14" i="5" s="1"/>
  <c r="B19" i="5"/>
  <c r="G10" i="5"/>
  <c r="B15" i="6"/>
  <c r="F14" i="6"/>
  <c r="G9" i="5" s="1"/>
  <c r="G11" i="5" l="1"/>
  <c r="G22" i="5" s="1"/>
  <c r="B26" i="5"/>
  <c r="B7" i="5" l="1"/>
  <c r="F34" i="2"/>
  <c r="F38" i="2"/>
  <c r="F39" i="2" l="1"/>
</calcChain>
</file>

<file path=xl/sharedStrings.xml><?xml version="1.0" encoding="utf-8"?>
<sst xmlns="http://schemas.openxmlformats.org/spreadsheetml/2006/main" count="242" uniqueCount="190">
  <si>
    <t>שאלה 4 - שווי מאזני</t>
  </si>
  <si>
    <t>תמורה</t>
  </si>
  <si>
    <t>שווי מאזני נרכש</t>
  </si>
  <si>
    <t>מוניטין (P.N)</t>
  </si>
  <si>
    <t>ניקוד</t>
  </si>
  <si>
    <t>פרטים</t>
  </si>
  <si>
    <t>פרמיה</t>
  </si>
  <si>
    <t>עודפים</t>
  </si>
  <si>
    <t>תקבולים ע"ח אופציות</t>
  </si>
  <si>
    <t>סה"כ</t>
  </si>
  <si>
    <t>הנפקת אופציות</t>
  </si>
  <si>
    <t>מימוש אופציות</t>
  </si>
  <si>
    <t xml:space="preserve">דיבידנד שהוכרז </t>
  </si>
  <si>
    <t>הון מניות רגילות</t>
  </si>
  <si>
    <t>-</t>
  </si>
  <si>
    <t xml:space="preserve">הנפקת מניות הטבה </t>
  </si>
  <si>
    <t xml:space="preserve">ניקוד </t>
  </si>
  <si>
    <t>שאלה 2 - הון עצמי</t>
  </si>
  <si>
    <t>שינוי במזומנים השנה</t>
  </si>
  <si>
    <t>י.פ מזומנים ושווי מזומנים</t>
  </si>
  <si>
    <t>י.ס מזומנים ושווי מזומנים</t>
  </si>
  <si>
    <t>נספח ב' - פעולות שלא במזומן</t>
  </si>
  <si>
    <t>מזומנים שנבעו מפעילות מימון</t>
  </si>
  <si>
    <t>הנפקת הון מניות במזומן</t>
  </si>
  <si>
    <t>סה"כ התאמות לרווח</t>
  </si>
  <si>
    <t>ת"מ מפעילות מימון</t>
  </si>
  <si>
    <t>מזומנים ששימשו לפעילות השקעה</t>
  </si>
  <si>
    <t>שינויים בסעיפי רכוש והתחייבות שוטפים</t>
  </si>
  <si>
    <t>ת"מ מפעילות השקעה</t>
  </si>
  <si>
    <t>מזומנים שנבעו מפעילות שוטפת</t>
  </si>
  <si>
    <t>התאמות לרווח ( נספח א' )</t>
  </si>
  <si>
    <t>הכנסות והוצאות שלא כרוכות בת"מ</t>
  </si>
  <si>
    <t>ת"מ מפעילות שוטפת</t>
  </si>
  <si>
    <t xml:space="preserve">ביאורים </t>
  </si>
  <si>
    <t>י.פ</t>
  </si>
  <si>
    <t>י.ס</t>
  </si>
  <si>
    <t>מכירה</t>
  </si>
  <si>
    <t>עלות מופחתת</t>
  </si>
  <si>
    <t>הוצאות פחת P.N</t>
  </si>
  <si>
    <t>הון מניות</t>
  </si>
  <si>
    <t>פרמיה על מניות</t>
  </si>
  <si>
    <t>הנפקת מניות במזומן</t>
  </si>
  <si>
    <t xml:space="preserve">הנפקת מניות במזומן </t>
  </si>
  <si>
    <t>דיבידנד לשלם</t>
  </si>
  <si>
    <t>שולם בגין שנה קודמת</t>
  </si>
  <si>
    <t>הוכרז השנה וטרם שולם</t>
  </si>
  <si>
    <t xml:space="preserve">דיבידנד ששולם במזומן </t>
  </si>
  <si>
    <t xml:space="preserve"> ניקוד בגין הצגת הדוח עצמו : 8 נקודות </t>
  </si>
  <si>
    <t>נדרש א</t>
  </si>
  <si>
    <t>נדרש ב</t>
  </si>
  <si>
    <t>31.12.2013</t>
  </si>
  <si>
    <t>הנפקת מניות</t>
  </si>
  <si>
    <t>הפסד השנה</t>
  </si>
  <si>
    <t>הפסד הון</t>
  </si>
  <si>
    <t>רכישה באשראי זכאים (P.N)</t>
  </si>
  <si>
    <t>זכאים</t>
  </si>
  <si>
    <t xml:space="preserve">רכישת רכב באשראי </t>
  </si>
  <si>
    <t>הנפקת מניות הטבה</t>
  </si>
  <si>
    <t>הוכרז ושולם</t>
  </si>
  <si>
    <t>הפסד השנה (P.N)</t>
  </si>
  <si>
    <t>קיטון בחשבון השקעה</t>
  </si>
  <si>
    <t>נדרש ג</t>
  </si>
  <si>
    <t>נדרש ד</t>
  </si>
  <si>
    <t>החשב טועה</t>
  </si>
  <si>
    <t>השקעה בני"ע סחירים</t>
  </si>
  <si>
    <t>הוצאות הנפקה</t>
  </si>
  <si>
    <t>רווח השנה</t>
  </si>
  <si>
    <t xml:space="preserve">כמו שהנפקת מניות (גיוס כספים מבעלי המניות) הינה פעילות מימון, כך גם חלוקת דיבידנד שהיא </t>
  </si>
  <si>
    <t>ח. פרמיה</t>
  </si>
  <si>
    <t>ז. הון מניות</t>
  </si>
  <si>
    <t xml:space="preserve">ז. הון מניות רגילות </t>
  </si>
  <si>
    <t>ח. עו"ש</t>
  </si>
  <si>
    <t>ז. פרמיה</t>
  </si>
  <si>
    <t xml:space="preserve">ז.עו"ש </t>
  </si>
  <si>
    <t xml:space="preserve">ח. עו"ש </t>
  </si>
  <si>
    <t>ז.תקבולים ע"ח אופציות</t>
  </si>
  <si>
    <t>ח. תקבולים ע"ח אופציות</t>
  </si>
  <si>
    <t>ח.עודפים</t>
  </si>
  <si>
    <t>יתרת ניכיון</t>
  </si>
  <si>
    <t>נדרש א:</t>
  </si>
  <si>
    <t>ח. הוצאות ריבית</t>
  </si>
  <si>
    <t>ח. הוצאות פחת ניכיון</t>
  </si>
  <si>
    <t>ז. ניכיון</t>
  </si>
  <si>
    <t>נדרש ג :</t>
  </si>
  <si>
    <t>חישוב הפרש מקורי ליום ה- 1.7.2016</t>
  </si>
  <si>
    <t>ייחוס הפרש מקורי ל -1.7.2016</t>
  </si>
  <si>
    <t>תנועה בחשבון השקעה ל- 31.12.2016</t>
  </si>
  <si>
    <t>חלקי ברווח</t>
  </si>
  <si>
    <t>1.1.2017</t>
  </si>
  <si>
    <t>1.1.2016</t>
  </si>
  <si>
    <t>רכישת קרקע כנגד מניות</t>
  </si>
  <si>
    <t>ח. קרקע</t>
  </si>
  <si>
    <t>אין להציג את הדיבידנד שחולק בשנת 2016  במסגרת פעילות השקעה .</t>
  </si>
  <si>
    <t xml:space="preserve">למעשה פעולה דומה (אך הפוכה) מהנפקת הון הינה פעולת מימון. יחד עם זאת , במקרה המתואר הדיבידנד רק הוכרז ולא חולק </t>
  </si>
  <si>
    <t>במזומן ולכן, יש להציג אותו בנספח ב' - פעולות שלא במזומן בדוח ת"מ בשנת 2016</t>
  </si>
  <si>
    <t>ז.דיבידנד לשלם</t>
  </si>
  <si>
    <t>אחוז החזקה 25%</t>
  </si>
  <si>
    <t>7,000/28,000 =</t>
  </si>
  <si>
    <t>(130,000+50,000) *25% =</t>
  </si>
  <si>
    <t>ציוד</t>
  </si>
  <si>
    <t>קרקע</t>
  </si>
  <si>
    <t>60,000*25% =</t>
  </si>
  <si>
    <t>70,000*25% =</t>
  </si>
  <si>
    <t>100,000*1/2* 25%=</t>
  </si>
  <si>
    <t>פחת הפרש מקורי -ציוד</t>
  </si>
  <si>
    <t>15,000 /3* 1/2 =</t>
  </si>
  <si>
    <t xml:space="preserve">מכירת 10% מהמניות </t>
  </si>
  <si>
    <t xml:space="preserve">נותרו 3 שנים מתוך 5 </t>
  </si>
  <si>
    <t>180,000 *10/25 =</t>
  </si>
  <si>
    <t>רווח הון</t>
  </si>
  <si>
    <t>רווח הון כתוצאה ממכירת השקעה מהווה רווח שאינו במזומן ולכן יוצג בנספח א' התאמות לרווח תחת פעילות שוטפת.</t>
  </si>
  <si>
    <t>שאלה 3 -אג"ח</t>
  </si>
  <si>
    <t>קרן</t>
  </si>
  <si>
    <t>ריבית נקובה</t>
  </si>
  <si>
    <t>ריבית שוק</t>
  </si>
  <si>
    <t>תאריך</t>
  </si>
  <si>
    <t>תזרים</t>
  </si>
  <si>
    <t>מקדם היוון</t>
  </si>
  <si>
    <t>תזרים מהוון</t>
  </si>
  <si>
    <t>31.12.2016</t>
  </si>
  <si>
    <t>31.12.2017</t>
  </si>
  <si>
    <t>סכום הגיוס</t>
  </si>
  <si>
    <t xml:space="preserve">פקודת יומן ליום ההנפקה </t>
  </si>
  <si>
    <t>ז.אג"ח</t>
  </si>
  <si>
    <t>חובה</t>
  </si>
  <si>
    <t>זכות</t>
  </si>
  <si>
    <t>קופה</t>
  </si>
  <si>
    <t>לא נדרש</t>
  </si>
  <si>
    <t>אג"ח</t>
  </si>
  <si>
    <t>נדרש ב:</t>
  </si>
  <si>
    <t>הוצאות מימון, נטו</t>
  </si>
  <si>
    <t>הוצאות ריבית</t>
  </si>
  <si>
    <t>י.ס.</t>
  </si>
  <si>
    <t>הוצאות ריבית :</t>
  </si>
  <si>
    <t>ז. הוצאות לשלם</t>
  </si>
  <si>
    <t>ערך נקוב</t>
  </si>
  <si>
    <t>31.12.2018</t>
  </si>
  <si>
    <t>31.12.2019</t>
  </si>
  <si>
    <t>ח.ניכיון</t>
  </si>
  <si>
    <t>הוצאות פחת  ניכיון :</t>
  </si>
  <si>
    <t>פחת ניכיון</t>
  </si>
  <si>
    <t>סכום הריבית שתשלם החברה במזומן בשנת 2020 :</t>
  </si>
  <si>
    <t>הוצאות הריבית בגין שנת 2019 משולמות ב - 1.1.2020</t>
  </si>
  <si>
    <t>נדרש ד:</t>
  </si>
  <si>
    <t>נדרש ה:</t>
  </si>
  <si>
    <t>תמורה ממכירה</t>
  </si>
  <si>
    <t>רכישה</t>
  </si>
  <si>
    <t>רווח מעליית ערך</t>
  </si>
  <si>
    <t>תמורה ממכירת השקעה בני"ע סחירים</t>
  </si>
  <si>
    <t>רכישת השקעה בני"ע סחירים</t>
  </si>
  <si>
    <t xml:space="preserve">רווח מעליית ערך השקעה בני"ע </t>
  </si>
  <si>
    <t>רווח הון ממכירת השקעה בני"ע</t>
  </si>
  <si>
    <t>דו"ח תזרים מזומנים לשנה שנסתיימה ב- 31.12.16 חברת "ניידים" בע"מ</t>
  </si>
  <si>
    <t>רהוט - עלות</t>
  </si>
  <si>
    <t>רהוט - פחת שנצבר</t>
  </si>
  <si>
    <t>תמורה ממכירת רהוט</t>
  </si>
  <si>
    <t>קיטון בזכאים</t>
  </si>
  <si>
    <t>גידול בחייבים</t>
  </si>
  <si>
    <t>קיטון במלאי</t>
  </si>
  <si>
    <t>גידול בהוצאות לשלם</t>
  </si>
  <si>
    <t>הלוואה לז"א</t>
  </si>
  <si>
    <t>פרעון הלוואה</t>
  </si>
  <si>
    <t xml:space="preserve">פרעון הלוואה לז"א </t>
  </si>
  <si>
    <t>הוכרז ולא שולם</t>
  </si>
  <si>
    <t>רכישת רהוט באשראי זכאים</t>
  </si>
  <si>
    <t>יחסי נזילות</t>
  </si>
  <si>
    <t>נכסים שוטפים</t>
  </si>
  <si>
    <t>התחייבויות שוטפות</t>
  </si>
  <si>
    <t>יחס שוטף</t>
  </si>
  <si>
    <t>יחס מהיר</t>
  </si>
  <si>
    <t>נכסים שוטפים בניכוי מלאי</t>
  </si>
  <si>
    <t>הוצאות פחת רהוט</t>
  </si>
  <si>
    <t>הפסד הון ממכירת רהוט</t>
  </si>
  <si>
    <t>ז. השקעה ב"פיננסיים"</t>
  </si>
  <si>
    <t>ז. רווח הון</t>
  </si>
  <si>
    <t>31.12.16</t>
  </si>
  <si>
    <t>31.12.17</t>
  </si>
  <si>
    <t>31.12.18</t>
  </si>
  <si>
    <t>31.12.19</t>
  </si>
  <si>
    <t>הוצאות מימון לשנת 2017</t>
  </si>
  <si>
    <t>אג"ח ,נטו ל- 31.12.2017</t>
  </si>
  <si>
    <t>יחסים אלו מודדים את יכולת החברה לפרוע את התחייבויותיה השוטפות באמצעות נכסיה השוטפים, ככל שהיחס גבוה יותר (גבוה מ-1) נזילות החברה גבוהה יותר.</t>
  </si>
  <si>
    <t>ניתן לומר שע"פ היחס השוטף לחברה יש מספיק נכסים שוטפים בכדי לפרוע את התחייבויותיה השוטפות בתוספת מרווח בטחון של מעל ל- 100%.</t>
  </si>
  <si>
    <t>על פניו, מדובר ברמת נזילות גבוהה ויחד עם זאת, במצב כזה כדאי לחברה לשקול להשקיע חלק מנכסים השוטפים כהשקעות מניבות לטווח ארוך.</t>
  </si>
  <si>
    <t>רווח ההון יוצג כתזרים שלילי בנספח א' בדוח ת"מ לשנת 2017 בספרי חברת " מחשבונים בע"מ.</t>
  </si>
  <si>
    <t>יתרונות שעשויים להיות לחברה בגיוס כספים באמצעות הנפקת אג"ח לעומת מימון באמצעות הלוואות בנקאיות:</t>
  </si>
  <si>
    <t>שינתנו בתנאים נוחים יותר.</t>
  </si>
  <si>
    <t>בשיעור הנמוך מהשיעור אותו נדרשת היתה החברה לשלם במידה והיתה מקבלת הלוואה בנקאית.</t>
  </si>
  <si>
    <t>הקטנת העומס על מסגרת האשראי הבנקאית של החברה ופתיחת אפשרויות לגיוס נוסף בעתיד של כספים באמצעות הלוואות בנקאיות</t>
  </si>
  <si>
    <t xml:space="preserve">במקרה בו מדובר בחברות יציבות ,כשאגרות החוב קיבלו דירוג גבוה של חברת הדירוג יתכן והדירוג הגבוה יאפשר לחברה לשלם לרוכשי האג"ח ריבית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</si>
</sst>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sz val="11"/>
      <name val="Arial"/>
      <family val="2"/>
    </font>
    <font>
      <sz val="10"/>
      <name val="Arial"/>
      <family val="2"/>
    </font>
    <font>
      <b/>
      <u/>
      <sz val="14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sz val="12"/>
      <name val="David"/>
      <family val="2"/>
      <charset val="177"/>
    </font>
    <font>
      <b/>
      <sz val="10"/>
      <name val="Arial"/>
      <family val="2"/>
    </font>
    <font>
      <sz val="12"/>
      <color theme="1"/>
      <name val="David"/>
      <family val="2"/>
    </font>
    <font>
      <sz val="11"/>
      <color indexed="8"/>
      <name val="Arial"/>
      <family val="2"/>
      <charset val="177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sz val="12"/>
      <color indexed="8"/>
      <name val="David"/>
      <family val="2"/>
    </font>
    <font>
      <u val="singleAccounting"/>
      <sz val="12"/>
      <color theme="1"/>
      <name val="David"/>
      <family val="2"/>
    </font>
    <font>
      <b/>
      <sz val="12"/>
      <color indexed="8"/>
      <name val="David"/>
      <family val="2"/>
    </font>
    <font>
      <b/>
      <u val="singleAccounting"/>
      <sz val="12"/>
      <color theme="1"/>
      <name val="David"/>
      <family val="2"/>
    </font>
    <font>
      <b/>
      <u/>
      <sz val="12"/>
      <color indexed="8"/>
      <name val="David"/>
      <family val="2"/>
    </font>
    <font>
      <b/>
      <sz val="12"/>
      <name val="David"/>
      <family val="2"/>
    </font>
    <font>
      <u val="singleAccounting"/>
      <sz val="12"/>
      <color indexed="8"/>
      <name val="David"/>
      <family val="2"/>
    </font>
    <font>
      <u/>
      <sz val="12"/>
      <color indexed="8"/>
      <name val="David"/>
      <family val="2"/>
    </font>
    <font>
      <u/>
      <sz val="11"/>
      <color indexed="8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20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Fill="1"/>
    <xf numFmtId="164" fontId="2" fillId="0" borderId="0" xfId="1" applyNumberFormat="1" applyFont="1" applyFill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6" fillId="0" borderId="0" xfId="0" applyFont="1" applyBorder="1"/>
    <xf numFmtId="0" fontId="0" fillId="0" borderId="0" xfId="0" applyBorder="1"/>
    <xf numFmtId="164" fontId="2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right"/>
    </xf>
    <xf numFmtId="164" fontId="10" fillId="0" borderId="2" xfId="1" applyNumberFormat="1" applyFont="1" applyBorder="1" applyAlignment="1">
      <alignment horizontal="right"/>
    </xf>
    <xf numFmtId="164" fontId="10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/>
    <xf numFmtId="0" fontId="10" fillId="2" borderId="0" xfId="0" applyFont="1" applyFill="1"/>
    <xf numFmtId="164" fontId="10" fillId="0" borderId="3" xfId="1" applyNumberFormat="1" applyFont="1" applyBorder="1"/>
    <xf numFmtId="0" fontId="10" fillId="0" borderId="3" xfId="0" applyFont="1" applyBorder="1"/>
    <xf numFmtId="164" fontId="9" fillId="0" borderId="0" xfId="1" applyNumberFormat="1" applyFont="1"/>
    <xf numFmtId="0" fontId="10" fillId="0" borderId="0" xfId="0" applyFont="1"/>
    <xf numFmtId="164" fontId="10" fillId="0" borderId="0" xfId="1" applyNumberFormat="1" applyFont="1"/>
    <xf numFmtId="0" fontId="4" fillId="0" borderId="0" xfId="0" applyFont="1"/>
    <xf numFmtId="164" fontId="10" fillId="0" borderId="0" xfId="0" applyNumberFormat="1" applyFont="1"/>
    <xf numFmtId="164" fontId="5" fillId="0" borderId="0" xfId="1" applyNumberFormat="1" applyFont="1"/>
    <xf numFmtId="164" fontId="10" fillId="0" borderId="3" xfId="0" applyNumberFormat="1" applyFont="1" applyBorder="1"/>
    <xf numFmtId="0" fontId="3" fillId="0" borderId="0" xfId="0" applyFont="1"/>
    <xf numFmtId="164" fontId="10" fillId="0" borderId="0" xfId="1" applyNumberFormat="1" applyFont="1" applyBorder="1"/>
    <xf numFmtId="0" fontId="10" fillId="0" borderId="0" xfId="0" applyFont="1" applyBorder="1"/>
    <xf numFmtId="164" fontId="2" fillId="0" borderId="0" xfId="1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2" fillId="0" borderId="0" xfId="1" applyNumberFormat="1" applyFont="1" applyBorder="1"/>
    <xf numFmtId="0" fontId="2" fillId="0" borderId="0" xfId="0" applyFont="1" applyBorder="1"/>
    <xf numFmtId="164" fontId="9" fillId="0" borderId="0" xfId="1" applyNumberFormat="1" applyFont="1" applyBorder="1"/>
    <xf numFmtId="164" fontId="5" fillId="0" borderId="0" xfId="1" applyNumberFormat="1" applyFont="1" applyBorder="1"/>
    <xf numFmtId="164" fontId="5" fillId="0" borderId="0" xfId="1" applyNumberFormat="1" applyFont="1" applyFill="1" applyBorder="1"/>
    <xf numFmtId="164" fontId="10" fillId="0" borderId="0" xfId="1" applyNumberFormat="1" applyFont="1" applyFill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4" fillId="0" borderId="6" xfId="0" applyFont="1" applyBorder="1"/>
    <xf numFmtId="0" fontId="10" fillId="0" borderId="7" xfId="0" applyFont="1" applyBorder="1"/>
    <xf numFmtId="164" fontId="10" fillId="0" borderId="8" xfId="1" applyNumberFormat="1" applyFont="1" applyBorder="1"/>
    <xf numFmtId="0" fontId="2" fillId="0" borderId="7" xfId="0" applyFont="1" applyBorder="1"/>
    <xf numFmtId="0" fontId="0" fillId="0" borderId="8" xfId="0" applyBorder="1"/>
    <xf numFmtId="0" fontId="0" fillId="0" borderId="1" xfId="0" applyBorder="1"/>
    <xf numFmtId="164" fontId="2" fillId="0" borderId="8" xfId="1" applyNumberFormat="1" applyFont="1" applyBorder="1"/>
    <xf numFmtId="164" fontId="5" fillId="0" borderId="8" xfId="1" applyNumberFormat="1" applyFont="1" applyBorder="1"/>
    <xf numFmtId="0" fontId="0" fillId="0" borderId="7" xfId="0" applyBorder="1"/>
    <xf numFmtId="0" fontId="2" fillId="0" borderId="10" xfId="0" applyFont="1" applyBorder="1"/>
    <xf numFmtId="164" fontId="2" fillId="0" borderId="1" xfId="1" applyNumberFormat="1" applyFont="1" applyBorder="1" applyAlignment="1">
      <alignment horizontal="right"/>
    </xf>
    <xf numFmtId="0" fontId="0" fillId="0" borderId="9" xfId="0" applyBorder="1"/>
    <xf numFmtId="0" fontId="10" fillId="0" borderId="0" xfId="0" applyFont="1" applyFill="1"/>
    <xf numFmtId="164" fontId="10" fillId="0" borderId="0" xfId="1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Border="1"/>
    <xf numFmtId="164" fontId="2" fillId="0" borderId="1" xfId="1" applyNumberFormat="1" applyFont="1" applyBorder="1"/>
    <xf numFmtId="164" fontId="9" fillId="0" borderId="0" xfId="1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164" fontId="8" fillId="0" borderId="0" xfId="1" applyNumberFormat="1" applyFont="1" applyAlignment="1">
      <alignment horizontal="center"/>
    </xf>
    <xf numFmtId="164" fontId="2" fillId="0" borderId="2" xfId="1" applyNumberFormat="1" applyFont="1" applyBorder="1"/>
    <xf numFmtId="164" fontId="13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center"/>
    </xf>
    <xf numFmtId="164" fontId="15" fillId="2" borderId="0" xfId="1" applyNumberFormat="1" applyFont="1" applyFill="1" applyAlignment="1">
      <alignment horizontal="center"/>
    </xf>
    <xf numFmtId="9" fontId="12" fillId="2" borderId="0" xfId="2" applyFont="1" applyFill="1" applyBorder="1" applyAlignment="1">
      <alignment horizontal="center"/>
    </xf>
    <xf numFmtId="0" fontId="16" fillId="0" borderId="0" xfId="0" applyFont="1"/>
    <xf numFmtId="164" fontId="17" fillId="0" borderId="0" xfId="1" applyNumberFormat="1" applyFont="1"/>
    <xf numFmtId="164" fontId="18" fillId="0" borderId="0" xfId="1" applyNumberFormat="1" applyFont="1"/>
    <xf numFmtId="43" fontId="15" fillId="0" borderId="0" xfId="1" applyNumberFormat="1" applyFont="1"/>
    <xf numFmtId="164" fontId="10" fillId="2" borderId="2" xfId="1" applyNumberFormat="1" applyFont="1" applyFill="1" applyBorder="1" applyAlignment="1">
      <alignment horizontal="center"/>
    </xf>
    <xf numFmtId="164" fontId="20" fillId="2" borderId="0" xfId="1" applyNumberFormat="1" applyFont="1" applyFill="1" applyAlignment="1">
      <alignment horizontal="center"/>
    </xf>
    <xf numFmtId="0" fontId="0" fillId="0" borderId="0" xfId="0" applyFont="1"/>
    <xf numFmtId="0" fontId="17" fillId="0" borderId="0" xfId="6" applyFont="1"/>
    <xf numFmtId="0" fontId="21" fillId="0" borderId="0" xfId="6" applyFont="1" applyAlignment="1">
      <alignment horizontal="center"/>
    </xf>
    <xf numFmtId="0" fontId="19" fillId="3" borderId="0" xfId="6" applyFont="1" applyFill="1" applyAlignment="1">
      <alignment horizontal="center"/>
    </xf>
    <xf numFmtId="0" fontId="22" fillId="0" borderId="0" xfId="3" applyFont="1"/>
    <xf numFmtId="0" fontId="21" fillId="0" borderId="0" xfId="6" applyFont="1"/>
    <xf numFmtId="9" fontId="17" fillId="0" borderId="0" xfId="7" applyNumberFormat="1" applyFont="1"/>
    <xf numFmtId="0" fontId="17" fillId="0" borderId="0" xfId="6" applyFont="1" applyAlignment="1">
      <alignment horizontal="center"/>
    </xf>
    <xf numFmtId="165" fontId="17" fillId="0" borderId="0" xfId="8" applyNumberFormat="1" applyFont="1"/>
    <xf numFmtId="164" fontId="17" fillId="0" borderId="0" xfId="8" applyNumberFormat="1" applyFont="1"/>
    <xf numFmtId="164" fontId="23" fillId="0" borderId="0" xfId="8" applyNumberFormat="1" applyFont="1"/>
    <xf numFmtId="164" fontId="19" fillId="0" borderId="0" xfId="8" applyNumberFormat="1" applyFont="1"/>
    <xf numFmtId="0" fontId="24" fillId="0" borderId="0" xfId="6" applyFont="1" applyAlignment="1">
      <alignment horizontal="center"/>
    </xf>
    <xf numFmtId="164" fontId="17" fillId="0" borderId="0" xfId="6" applyNumberFormat="1" applyFont="1"/>
    <xf numFmtId="0" fontId="24" fillId="0" borderId="0" xfId="6" applyFont="1"/>
    <xf numFmtId="164" fontId="19" fillId="2" borderId="0" xfId="8" applyNumberFormat="1" applyFont="1" applyFill="1"/>
    <xf numFmtId="0" fontId="19" fillId="0" borderId="0" xfId="6" applyFont="1"/>
    <xf numFmtId="164" fontId="23" fillId="0" borderId="0" xfId="6" applyNumberFormat="1" applyFont="1"/>
    <xf numFmtId="164" fontId="19" fillId="0" borderId="0" xfId="6" applyNumberFormat="1" applyFont="1"/>
    <xf numFmtId="164" fontId="17" fillId="0" borderId="0" xfId="8" applyNumberFormat="1" applyFont="1" applyFill="1"/>
    <xf numFmtId="0" fontId="13" fillId="0" borderId="0" xfId="0" applyFont="1"/>
    <xf numFmtId="0" fontId="13" fillId="0" borderId="0" xfId="0" applyFont="1" applyFill="1" applyBorder="1"/>
    <xf numFmtId="164" fontId="15" fillId="0" borderId="0" xfId="1" applyNumberFormat="1" applyFont="1" applyFill="1" applyBorder="1"/>
    <xf numFmtId="164" fontId="20" fillId="0" borderId="0" xfId="1" applyNumberFormat="1" applyFont="1"/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7" fillId="0" borderId="0" xfId="6" applyFont="1" applyAlignment="1">
      <alignment horizontal="center"/>
    </xf>
    <xf numFmtId="0" fontId="13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center"/>
    </xf>
    <xf numFmtId="164" fontId="9" fillId="0" borderId="0" xfId="1" applyNumberFormat="1" applyFont="1" applyBorder="1" applyAlignment="1">
      <alignment horizontal="center"/>
    </xf>
    <xf numFmtId="164" fontId="8" fillId="0" borderId="0" xfId="1" applyNumberFormat="1" applyFont="1" applyAlignment="1">
      <alignment horizontal="center"/>
    </xf>
    <xf numFmtId="0" fontId="17" fillId="0" borderId="0" xfId="6" applyFont="1" applyAlignment="1">
      <alignment horizontal="center"/>
    </xf>
    <xf numFmtId="0" fontId="25" fillId="0" borderId="0" xfId="0" applyFont="1"/>
    <xf numFmtId="0" fontId="19" fillId="2" borderId="0" xfId="6" applyFont="1" applyFill="1" applyAlignment="1">
      <alignment horizontal="center"/>
    </xf>
    <xf numFmtId="0" fontId="0" fillId="2" borderId="0" xfId="0" applyFill="1"/>
  </cellXfs>
  <cellStyles count="9">
    <cellStyle name="Comma" xfId="1" builtinId="3"/>
    <cellStyle name="Comma 2 2 2" xfId="5"/>
    <cellStyle name="Comma 2 2 3" xfId="8"/>
    <cellStyle name="Normal" xfId="0" builtinId="0"/>
    <cellStyle name="Normal 2 2" xfId="3"/>
    <cellStyle name="Normal_פתרון שאלה בהתחייבויות 2" xfId="6"/>
    <cellStyle name="Percent" xfId="2" builtinId="5"/>
    <cellStyle name="Percent 3 2 2" xfId="4"/>
    <cellStyle name="Percent 3 2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rightToLeft="1" topLeftCell="A31" workbookViewId="0">
      <selection activeCell="A50" sqref="A50"/>
    </sheetView>
  </sheetViews>
  <sheetFormatPr defaultColWidth="9" defaultRowHeight="15.5" x14ac:dyDescent="0.35"/>
  <cols>
    <col min="1" max="1" width="34.83203125" style="25" customWidth="1"/>
    <col min="2" max="2" width="15.33203125" style="25" customWidth="1"/>
    <col min="3" max="3" width="8.58203125" style="25" customWidth="1"/>
    <col min="4" max="4" width="13.08203125" style="25" customWidth="1"/>
    <col min="5" max="5" width="11.58203125" style="25" customWidth="1"/>
    <col min="6" max="7" width="9" style="25"/>
    <col min="8" max="8" width="11.75" style="25" customWidth="1"/>
    <col min="9" max="9" width="9.58203125" style="25" bestFit="1" customWidth="1"/>
    <col min="10" max="16384" width="9" style="25"/>
  </cols>
  <sheetData>
    <row r="1" spans="1:8" x14ac:dyDescent="0.35">
      <c r="A1" s="34" t="s">
        <v>48</v>
      </c>
    </row>
    <row r="3" spans="1:8" x14ac:dyDescent="0.35">
      <c r="A3" s="113" t="s">
        <v>152</v>
      </c>
      <c r="B3" s="113"/>
      <c r="C3" s="113"/>
      <c r="D3" s="113"/>
    </row>
    <row r="4" spans="1:8" x14ac:dyDescent="0.35">
      <c r="A4" s="34" t="s">
        <v>32</v>
      </c>
      <c r="D4" s="34" t="s">
        <v>30</v>
      </c>
      <c r="E4" s="34"/>
      <c r="F4" s="34"/>
    </row>
    <row r="5" spans="1:8" x14ac:dyDescent="0.35">
      <c r="D5" s="38" t="s">
        <v>31</v>
      </c>
      <c r="E5" s="38"/>
      <c r="F5" s="38"/>
    </row>
    <row r="6" spans="1:8" x14ac:dyDescent="0.35">
      <c r="A6" s="25" t="s">
        <v>52</v>
      </c>
      <c r="B6" s="1">
        <f>ביאורים!D42</f>
        <v>-17000</v>
      </c>
    </row>
    <row r="7" spans="1:8" ht="18.5" x14ac:dyDescent="0.65">
      <c r="A7" s="25" t="s">
        <v>30</v>
      </c>
      <c r="B7" s="36">
        <f>G22</f>
        <v>36000</v>
      </c>
      <c r="D7" s="25" t="s">
        <v>151</v>
      </c>
      <c r="G7" s="13">
        <f>-ביאורים!B6</f>
        <v>-5000</v>
      </c>
    </row>
    <row r="8" spans="1:8" x14ac:dyDescent="0.35">
      <c r="A8" s="32" t="s">
        <v>29</v>
      </c>
      <c r="B8" s="33">
        <f>SUM(B6:B7)</f>
        <v>19000</v>
      </c>
      <c r="D8" s="25" t="s">
        <v>150</v>
      </c>
      <c r="G8" s="13">
        <f>-ביאורים!B8</f>
        <v>-10000</v>
      </c>
      <c r="H8" s="13"/>
    </row>
    <row r="9" spans="1:8" x14ac:dyDescent="0.35">
      <c r="D9" s="25" t="s">
        <v>172</v>
      </c>
      <c r="G9" s="13">
        <f>-ביאורים!F15</f>
        <v>4000</v>
      </c>
    </row>
    <row r="10" spans="1:8" ht="18.5" x14ac:dyDescent="0.65">
      <c r="A10" s="34" t="s">
        <v>28</v>
      </c>
      <c r="B10" s="1"/>
      <c r="D10" s="25" t="s">
        <v>171</v>
      </c>
      <c r="G10" s="14">
        <f>ביאורים!D15</f>
        <v>20000</v>
      </c>
    </row>
    <row r="11" spans="1:8" x14ac:dyDescent="0.35">
      <c r="A11" s="105" t="s">
        <v>148</v>
      </c>
      <c r="B11" s="1">
        <f>-ביאורים!B5</f>
        <v>95000</v>
      </c>
      <c r="G11" s="13">
        <f>SUM(G7:G10)</f>
        <v>9000</v>
      </c>
    </row>
    <row r="12" spans="1:8" x14ac:dyDescent="0.35">
      <c r="A12" s="105" t="s">
        <v>149</v>
      </c>
      <c r="B12" s="1">
        <f>-ביאורים!B7</f>
        <v>-102000</v>
      </c>
      <c r="G12" s="41"/>
    </row>
    <row r="13" spans="1:8" ht="18.5" x14ac:dyDescent="0.65">
      <c r="A13" s="25" t="s">
        <v>155</v>
      </c>
      <c r="B13" s="36">
        <f>ביאורים!F13</f>
        <v>10000</v>
      </c>
      <c r="G13" s="26"/>
    </row>
    <row r="14" spans="1:8" x14ac:dyDescent="0.35">
      <c r="A14" s="40" t="s">
        <v>26</v>
      </c>
      <c r="B14" s="39">
        <f>SUM(B11:B13)</f>
        <v>3000</v>
      </c>
      <c r="D14" s="38" t="s">
        <v>27</v>
      </c>
      <c r="E14" s="38"/>
      <c r="F14" s="38"/>
      <c r="G14" s="13"/>
    </row>
    <row r="15" spans="1:8" x14ac:dyDescent="0.35">
      <c r="D15" s="25" t="s">
        <v>156</v>
      </c>
      <c r="G15" s="13">
        <f>ביאורים!B20</f>
        <v>-4000</v>
      </c>
    </row>
    <row r="16" spans="1:8" ht="18.5" x14ac:dyDescent="0.65">
      <c r="B16" s="36"/>
      <c r="D16" s="25" t="s">
        <v>158</v>
      </c>
      <c r="G16" s="13">
        <v>39000</v>
      </c>
    </row>
    <row r="17" spans="1:7" x14ac:dyDescent="0.35">
      <c r="A17" s="34" t="s">
        <v>25</v>
      </c>
      <c r="B17" s="1"/>
      <c r="D17" s="25" t="s">
        <v>157</v>
      </c>
      <c r="G17" s="13">
        <v>-10000</v>
      </c>
    </row>
    <row r="18" spans="1:7" ht="18.5" x14ac:dyDescent="0.65">
      <c r="A18" s="25" t="s">
        <v>162</v>
      </c>
      <c r="B18" s="13">
        <f>ביאורים!B27</f>
        <v>-1000</v>
      </c>
      <c r="D18" s="25" t="s">
        <v>159</v>
      </c>
      <c r="G18" s="14">
        <v>2000</v>
      </c>
    </row>
    <row r="19" spans="1:7" x14ac:dyDescent="0.35">
      <c r="A19" s="25" t="s">
        <v>23</v>
      </c>
      <c r="B19" s="1">
        <f>ביאורים!B35+ביאורים!D35</f>
        <v>25000</v>
      </c>
      <c r="G19" s="13">
        <f>SUM(G15:G18)</f>
        <v>27000</v>
      </c>
    </row>
    <row r="20" spans="1:7" ht="18.5" x14ac:dyDescent="0.65">
      <c r="A20" s="25" t="s">
        <v>46</v>
      </c>
      <c r="B20" s="36">
        <f>ביאורים!B42+ביאורים!D44</f>
        <v>-8000</v>
      </c>
      <c r="G20" s="13"/>
    </row>
    <row r="21" spans="1:7" x14ac:dyDescent="0.35">
      <c r="A21" s="32" t="s">
        <v>22</v>
      </c>
      <c r="B21" s="35">
        <f>SUM(B18:B20)</f>
        <v>16000</v>
      </c>
    </row>
    <row r="22" spans="1:7" ht="16" thickBot="1" x14ac:dyDescent="0.4">
      <c r="D22" s="30" t="s">
        <v>24</v>
      </c>
      <c r="E22" s="30"/>
      <c r="F22" s="30"/>
      <c r="G22" s="37">
        <f>G19+G11</f>
        <v>36000</v>
      </c>
    </row>
    <row r="24" spans="1:7" x14ac:dyDescent="0.35">
      <c r="A24" s="32" t="s">
        <v>20</v>
      </c>
      <c r="B24" s="33">
        <v>84000</v>
      </c>
    </row>
    <row r="25" spans="1:7" ht="18.5" x14ac:dyDescent="0.65">
      <c r="A25" s="32" t="s">
        <v>19</v>
      </c>
      <c r="B25" s="31">
        <v>-46000</v>
      </c>
    </row>
    <row r="26" spans="1:7" ht="16" thickBot="1" x14ac:dyDescent="0.4">
      <c r="A26" s="30" t="s">
        <v>18</v>
      </c>
      <c r="B26" s="29">
        <f>B24+B25</f>
        <v>38000</v>
      </c>
      <c r="D26" s="34" t="s">
        <v>21</v>
      </c>
      <c r="E26" s="34"/>
      <c r="F26" s="34"/>
    </row>
    <row r="27" spans="1:7" x14ac:dyDescent="0.35">
      <c r="D27" s="25" t="s">
        <v>43</v>
      </c>
      <c r="G27" s="1">
        <f>ביאורים!B43</f>
        <v>3000</v>
      </c>
    </row>
    <row r="28" spans="1:7" x14ac:dyDescent="0.35">
      <c r="D28" s="25" t="s">
        <v>164</v>
      </c>
      <c r="G28" s="1">
        <f>ביאורים!B21</f>
        <v>31000</v>
      </c>
    </row>
    <row r="29" spans="1:7" x14ac:dyDescent="0.35">
      <c r="D29" s="25" t="s">
        <v>57</v>
      </c>
      <c r="G29" s="1">
        <f>ביאורים!B36</f>
        <v>5000</v>
      </c>
    </row>
    <row r="31" spans="1:7" x14ac:dyDescent="0.35">
      <c r="B31" s="1"/>
      <c r="E31" s="28" t="s">
        <v>47</v>
      </c>
      <c r="F31" s="27"/>
      <c r="G31" s="27"/>
    </row>
    <row r="32" spans="1:7" x14ac:dyDescent="0.35">
      <c r="B32" s="1"/>
    </row>
    <row r="33" spans="1:8" x14ac:dyDescent="0.35">
      <c r="A33" s="79" t="s">
        <v>49</v>
      </c>
    </row>
    <row r="34" spans="1:8" ht="18.5" x14ac:dyDescent="0.65">
      <c r="A34" s="81" t="s">
        <v>165</v>
      </c>
      <c r="B34" s="1"/>
      <c r="C34" s="1"/>
      <c r="D34" s="108">
        <v>2016</v>
      </c>
      <c r="E34" s="1"/>
      <c r="F34" s="108">
        <v>2015</v>
      </c>
      <c r="G34" s="1"/>
      <c r="H34" s="77"/>
    </row>
    <row r="35" spans="1:8" x14ac:dyDescent="0.35">
      <c r="A35" s="1"/>
      <c r="C35" s="1"/>
      <c r="D35" s="1"/>
      <c r="E35" s="1"/>
      <c r="F35" s="1"/>
      <c r="G35" s="1"/>
      <c r="H35" s="77"/>
    </row>
    <row r="36" spans="1:8" ht="18.5" x14ac:dyDescent="0.65">
      <c r="A36" s="1"/>
      <c r="B36" s="36" t="s">
        <v>166</v>
      </c>
      <c r="C36" s="1"/>
      <c r="D36" s="1"/>
      <c r="E36" s="36">
        <v>253000</v>
      </c>
      <c r="F36" s="1"/>
      <c r="G36" s="36">
        <v>222000</v>
      </c>
      <c r="H36" s="77"/>
    </row>
    <row r="37" spans="1:8" x14ac:dyDescent="0.35">
      <c r="A37" s="1" t="s">
        <v>168</v>
      </c>
      <c r="B37" s="1" t="s">
        <v>167</v>
      </c>
      <c r="C37" s="1"/>
      <c r="D37" s="82">
        <f>E36/E37</f>
        <v>2.2192982456140351</v>
      </c>
      <c r="E37" s="1">
        <v>114000</v>
      </c>
      <c r="F37" s="82">
        <f>G36/G37</f>
        <v>2.5517241379310347</v>
      </c>
      <c r="G37" s="1">
        <v>87000</v>
      </c>
      <c r="H37" s="77">
        <v>2</v>
      </c>
    </row>
    <row r="38" spans="1:8" x14ac:dyDescent="0.35">
      <c r="A38" s="1"/>
      <c r="B38" s="1"/>
      <c r="C38" s="1"/>
      <c r="D38" s="82"/>
      <c r="E38" s="1"/>
      <c r="F38" s="82"/>
      <c r="G38" s="1"/>
      <c r="H38" s="77"/>
    </row>
    <row r="39" spans="1:8" ht="18.5" x14ac:dyDescent="0.65">
      <c r="A39" s="1"/>
      <c r="B39" s="36" t="s">
        <v>170</v>
      </c>
      <c r="C39" s="1"/>
      <c r="D39" s="82"/>
      <c r="E39" s="1"/>
      <c r="F39" s="82"/>
      <c r="G39" s="1"/>
      <c r="H39" s="77"/>
    </row>
    <row r="40" spans="1:8" ht="18.5" x14ac:dyDescent="0.65">
      <c r="A40" s="25" t="s">
        <v>169</v>
      </c>
      <c r="B40" s="25" t="s">
        <v>167</v>
      </c>
      <c r="E40" s="36">
        <v>218000</v>
      </c>
      <c r="G40" s="36">
        <v>148000</v>
      </c>
      <c r="H40" s="27"/>
    </row>
    <row r="41" spans="1:8" x14ac:dyDescent="0.35">
      <c r="D41" s="82">
        <f>E40/E41</f>
        <v>1.9122807017543859</v>
      </c>
      <c r="E41" s="1">
        <v>114000</v>
      </c>
      <c r="F41" s="82">
        <f>G40/G41</f>
        <v>1.7011494252873562</v>
      </c>
      <c r="G41" s="1">
        <v>87000</v>
      </c>
      <c r="H41" s="109">
        <v>2</v>
      </c>
    </row>
    <row r="42" spans="1:8" x14ac:dyDescent="0.35">
      <c r="H42" s="27"/>
    </row>
    <row r="43" spans="1:8" x14ac:dyDescent="0.35">
      <c r="H43" s="27"/>
    </row>
    <row r="44" spans="1:8" x14ac:dyDescent="0.35">
      <c r="A44" s="79" t="s">
        <v>61</v>
      </c>
      <c r="H44" s="27"/>
    </row>
    <row r="45" spans="1:8" x14ac:dyDescent="0.35">
      <c r="A45" s="112" t="s">
        <v>181</v>
      </c>
      <c r="H45" s="27"/>
    </row>
    <row r="46" spans="1:8" x14ac:dyDescent="0.35">
      <c r="A46" s="25" t="s">
        <v>182</v>
      </c>
      <c r="H46" s="27"/>
    </row>
    <row r="47" spans="1:8" x14ac:dyDescent="0.35">
      <c r="A47" s="25" t="s">
        <v>183</v>
      </c>
      <c r="H47" s="27"/>
    </row>
    <row r="60" spans="3:3" x14ac:dyDescent="0.35">
      <c r="C60" s="1"/>
    </row>
    <row r="61" spans="3:3" x14ac:dyDescent="0.35">
      <c r="C61" s="1"/>
    </row>
    <row r="62" spans="3:3" x14ac:dyDescent="0.35">
      <c r="C62" s="1"/>
    </row>
    <row r="63" spans="3:3" x14ac:dyDescent="0.35">
      <c r="C63" s="1"/>
    </row>
    <row r="64" spans="3:3" x14ac:dyDescent="0.35">
      <c r="C64" s="1"/>
    </row>
    <row r="65" spans="3:3" x14ac:dyDescent="0.35">
      <c r="C65" s="1"/>
    </row>
    <row r="66" spans="3:3" x14ac:dyDescent="0.35">
      <c r="C66" s="1"/>
    </row>
    <row r="67" spans="3:3" x14ac:dyDescent="0.35">
      <c r="C67" s="1"/>
    </row>
    <row r="68" spans="3:3" x14ac:dyDescent="0.35">
      <c r="C68" s="1"/>
    </row>
    <row r="69" spans="3:3" x14ac:dyDescent="0.35">
      <c r="C69" s="1"/>
    </row>
    <row r="70" spans="3:3" x14ac:dyDescent="0.35">
      <c r="C70" s="1"/>
    </row>
    <row r="71" spans="3:3" x14ac:dyDescent="0.35">
      <c r="C71" s="1"/>
    </row>
    <row r="72" spans="3:3" x14ac:dyDescent="0.35">
      <c r="C72" s="1"/>
    </row>
    <row r="73" spans="3:3" x14ac:dyDescent="0.35">
      <c r="C73" s="1"/>
    </row>
    <row r="74" spans="3:3" x14ac:dyDescent="0.35">
      <c r="C74" s="1"/>
    </row>
    <row r="75" spans="3:3" x14ac:dyDescent="0.35">
      <c r="C75" s="1"/>
    </row>
    <row r="76" spans="3:3" x14ac:dyDescent="0.35">
      <c r="C76" s="1"/>
    </row>
    <row r="77" spans="3:3" x14ac:dyDescent="0.35">
      <c r="C77" s="1"/>
    </row>
    <row r="78" spans="3:3" x14ac:dyDescent="0.35">
      <c r="C78" s="1"/>
    </row>
    <row r="79" spans="3:3" x14ac:dyDescent="0.35">
      <c r="C79" s="1"/>
    </row>
    <row r="80" spans="3:3" x14ac:dyDescent="0.35">
      <c r="C80" s="1"/>
    </row>
    <row r="81" spans="3:3" x14ac:dyDescent="0.35">
      <c r="C81" s="1"/>
    </row>
    <row r="82" spans="3:3" x14ac:dyDescent="0.35">
      <c r="C82" s="1"/>
    </row>
    <row r="83" spans="3:3" x14ac:dyDescent="0.35">
      <c r="C83" s="1"/>
    </row>
    <row r="84" spans="3:3" x14ac:dyDescent="0.35">
      <c r="C84" s="1"/>
    </row>
    <row r="85" spans="3:3" x14ac:dyDescent="0.35">
      <c r="C85" s="1"/>
    </row>
    <row r="86" spans="3:3" x14ac:dyDescent="0.35">
      <c r="C86" s="1"/>
    </row>
    <row r="87" spans="3:3" x14ac:dyDescent="0.35">
      <c r="C87" s="1"/>
    </row>
    <row r="88" spans="3:3" x14ac:dyDescent="0.35">
      <c r="C88" s="1"/>
    </row>
    <row r="89" spans="3:3" x14ac:dyDescent="0.35">
      <c r="C89" s="1"/>
    </row>
    <row r="90" spans="3:3" x14ac:dyDescent="0.35">
      <c r="C90" s="1"/>
    </row>
    <row r="91" spans="3:3" x14ac:dyDescent="0.35">
      <c r="C91" s="1"/>
    </row>
    <row r="92" spans="3:3" x14ac:dyDescent="0.35">
      <c r="C92" s="1"/>
    </row>
    <row r="93" spans="3:3" x14ac:dyDescent="0.35">
      <c r="C93" s="1"/>
    </row>
    <row r="94" spans="3:3" x14ac:dyDescent="0.35">
      <c r="C94" s="1"/>
    </row>
    <row r="95" spans="3:3" x14ac:dyDescent="0.35">
      <c r="C95" s="1"/>
    </row>
    <row r="96" spans="3:3" x14ac:dyDescent="0.35">
      <c r="C96" s="1"/>
    </row>
    <row r="97" spans="3:3" x14ac:dyDescent="0.35">
      <c r="C97" s="1"/>
    </row>
    <row r="98" spans="3:3" x14ac:dyDescent="0.35">
      <c r="C98" s="1"/>
    </row>
    <row r="99" spans="3:3" x14ac:dyDescent="0.35">
      <c r="C99" s="1"/>
    </row>
    <row r="100" spans="3:3" x14ac:dyDescent="0.35">
      <c r="C100" s="1"/>
    </row>
    <row r="101" spans="3:3" x14ac:dyDescent="0.35">
      <c r="C101" s="1"/>
    </row>
    <row r="102" spans="3:3" x14ac:dyDescent="0.35">
      <c r="C102" s="1"/>
    </row>
    <row r="103" spans="3:3" x14ac:dyDescent="0.35">
      <c r="C103" s="1"/>
    </row>
    <row r="104" spans="3:3" x14ac:dyDescent="0.35">
      <c r="C104" s="1"/>
    </row>
    <row r="105" spans="3:3" x14ac:dyDescent="0.35">
      <c r="C105" s="1"/>
    </row>
    <row r="106" spans="3:3" x14ac:dyDescent="0.35">
      <c r="C106" s="1"/>
    </row>
    <row r="107" spans="3:3" x14ac:dyDescent="0.35">
      <c r="C107" s="1"/>
    </row>
    <row r="108" spans="3:3" x14ac:dyDescent="0.35">
      <c r="C108" s="1"/>
    </row>
    <row r="109" spans="3:3" x14ac:dyDescent="0.35">
      <c r="C109" s="1"/>
    </row>
    <row r="110" spans="3:3" x14ac:dyDescent="0.35">
      <c r="C110" s="1"/>
    </row>
    <row r="111" spans="3:3" x14ac:dyDescent="0.35">
      <c r="C111" s="1"/>
    </row>
    <row r="112" spans="3:3" x14ac:dyDescent="0.35">
      <c r="C112" s="1"/>
    </row>
    <row r="113" spans="3:3" x14ac:dyDescent="0.35">
      <c r="C113" s="1"/>
    </row>
    <row r="114" spans="3:3" x14ac:dyDescent="0.35">
      <c r="C114" s="1"/>
    </row>
    <row r="115" spans="3:3" x14ac:dyDescent="0.35">
      <c r="C115" s="1"/>
    </row>
    <row r="116" spans="3:3" x14ac:dyDescent="0.35">
      <c r="C116" s="1"/>
    </row>
    <row r="117" spans="3:3" x14ac:dyDescent="0.35">
      <c r="C117" s="1"/>
    </row>
  </sheetData>
  <mergeCells count="1">
    <mergeCell ref="A3:D3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rightToLeft="1" topLeftCell="A40" workbookViewId="0">
      <selection activeCell="F16" sqref="F16"/>
    </sheetView>
  </sheetViews>
  <sheetFormatPr defaultRowHeight="14" x14ac:dyDescent="0.3"/>
  <cols>
    <col min="1" max="1" width="25.25" customWidth="1"/>
    <col min="2" max="2" width="18.25" customWidth="1"/>
    <col min="3" max="3" width="16.25" customWidth="1"/>
    <col min="4" max="4" width="15" customWidth="1"/>
    <col min="5" max="5" width="11.75" customWidth="1"/>
    <col min="6" max="6" width="13.33203125" customWidth="1"/>
    <col min="7" max="7" width="12.83203125" customWidth="1"/>
  </cols>
  <sheetData>
    <row r="1" spans="1:10" s="25" customFormat="1" ht="15.5" x14ac:dyDescent="0.35">
      <c r="A1" s="34" t="s">
        <v>33</v>
      </c>
      <c r="G1" s="25" t="s">
        <v>4</v>
      </c>
    </row>
    <row r="2" spans="1:10" s="25" customFormat="1" ht="15.5" x14ac:dyDescent="0.35"/>
    <row r="3" spans="1:10" s="25" customFormat="1" ht="15.5" x14ac:dyDescent="0.35">
      <c r="B3" s="34" t="s">
        <v>64</v>
      </c>
      <c r="G3" s="27"/>
    </row>
    <row r="4" spans="1:10" s="25" customFormat="1" ht="15.5" x14ac:dyDescent="0.35">
      <c r="A4" s="32" t="s">
        <v>34</v>
      </c>
      <c r="B4" s="33">
        <v>90000</v>
      </c>
      <c r="G4" s="27"/>
    </row>
    <row r="5" spans="1:10" s="25" customFormat="1" ht="15.5" x14ac:dyDescent="0.35">
      <c r="A5" s="105" t="s">
        <v>145</v>
      </c>
      <c r="B5" s="33">
        <v>-95000</v>
      </c>
      <c r="G5" s="27"/>
    </row>
    <row r="6" spans="1:10" s="25" customFormat="1" ht="15.5" x14ac:dyDescent="0.35">
      <c r="A6" s="105" t="s">
        <v>109</v>
      </c>
      <c r="B6" s="33">
        <v>5000</v>
      </c>
      <c r="G6" s="27"/>
    </row>
    <row r="7" spans="1:10" s="25" customFormat="1" ht="15.5" x14ac:dyDescent="0.35">
      <c r="A7" s="105" t="s">
        <v>146</v>
      </c>
      <c r="B7" s="33">
        <v>102000</v>
      </c>
      <c r="G7" s="110">
        <v>4</v>
      </c>
    </row>
    <row r="8" spans="1:10" s="25" customFormat="1" ht="18.5" x14ac:dyDescent="0.65">
      <c r="A8" s="25" t="s">
        <v>147</v>
      </c>
      <c r="B8" s="36">
        <f>B9-B7-B6-B5-B4</f>
        <v>10000</v>
      </c>
      <c r="G8" s="44"/>
    </row>
    <row r="9" spans="1:10" s="25" customFormat="1" ht="15.5" x14ac:dyDescent="0.35">
      <c r="A9" s="32" t="s">
        <v>35</v>
      </c>
      <c r="B9" s="33">
        <v>112000</v>
      </c>
      <c r="G9" s="27"/>
    </row>
    <row r="10" spans="1:10" s="25" customFormat="1" ht="15.5" x14ac:dyDescent="0.35">
      <c r="B10" s="32"/>
      <c r="C10" s="33"/>
      <c r="G10" s="27"/>
    </row>
    <row r="11" spans="1:10" ht="15.5" x14ac:dyDescent="0.35">
      <c r="A11" s="25"/>
      <c r="B11" s="1"/>
      <c r="C11" s="25"/>
      <c r="D11" s="1"/>
      <c r="G11" s="44"/>
      <c r="H11" s="25"/>
      <c r="I11" s="25"/>
      <c r="J11" s="25"/>
    </row>
    <row r="12" spans="1:10" ht="18.5" x14ac:dyDescent="0.65">
      <c r="A12" s="46"/>
      <c r="B12" s="47" t="s">
        <v>153</v>
      </c>
      <c r="C12" s="114" t="s">
        <v>154</v>
      </c>
      <c r="D12" s="114"/>
      <c r="F12" s="47" t="s">
        <v>53</v>
      </c>
      <c r="G12" s="44"/>
      <c r="H12" s="42"/>
      <c r="I12" s="25"/>
      <c r="J12" s="25"/>
    </row>
    <row r="13" spans="1:10" ht="15.5" x14ac:dyDescent="0.35">
      <c r="A13" s="40" t="s">
        <v>34</v>
      </c>
      <c r="B13" s="39">
        <v>38000</v>
      </c>
      <c r="C13" s="40" t="s">
        <v>34</v>
      </c>
      <c r="D13" s="39">
        <v>10000</v>
      </c>
      <c r="E13" s="46" t="s">
        <v>1</v>
      </c>
      <c r="F13" s="45">
        <f>F15-F14</f>
        <v>10000</v>
      </c>
      <c r="G13" s="44"/>
      <c r="H13" s="1"/>
      <c r="I13" s="25"/>
      <c r="J13" s="25"/>
    </row>
    <row r="14" spans="1:10" ht="18.5" x14ac:dyDescent="0.65">
      <c r="A14" s="46" t="s">
        <v>36</v>
      </c>
      <c r="B14" s="45">
        <f>-B13/2</f>
        <v>-19000</v>
      </c>
      <c r="C14" s="46" t="s">
        <v>36</v>
      </c>
      <c r="D14" s="45">
        <f>-D13/2</f>
        <v>-5000</v>
      </c>
      <c r="E14" s="46" t="s">
        <v>37</v>
      </c>
      <c r="F14" s="48">
        <f>B14-D14</f>
        <v>-14000</v>
      </c>
      <c r="G14" s="44">
        <v>6</v>
      </c>
      <c r="H14" s="1"/>
      <c r="I14" s="25"/>
      <c r="J14" s="25"/>
    </row>
    <row r="15" spans="1:10" ht="18.5" x14ac:dyDescent="0.65">
      <c r="A15" s="46" t="s">
        <v>54</v>
      </c>
      <c r="B15" s="48">
        <f>B16-B13-B14</f>
        <v>31000</v>
      </c>
      <c r="C15" s="46" t="s">
        <v>38</v>
      </c>
      <c r="D15" s="49">
        <f>D16-D14-D13</f>
        <v>20000</v>
      </c>
      <c r="E15" s="46" t="s">
        <v>53</v>
      </c>
      <c r="F15" s="45">
        <v>-4000</v>
      </c>
      <c r="G15" s="44"/>
      <c r="H15" s="1"/>
      <c r="I15" s="25"/>
      <c r="J15" s="25"/>
    </row>
    <row r="16" spans="1:10" ht="15.5" x14ac:dyDescent="0.35">
      <c r="A16" s="40" t="s">
        <v>35</v>
      </c>
      <c r="B16" s="39">
        <v>50000</v>
      </c>
      <c r="C16" s="40" t="s">
        <v>35</v>
      </c>
      <c r="D16" s="50">
        <v>25000</v>
      </c>
      <c r="G16" s="44"/>
      <c r="H16" s="25"/>
      <c r="I16" s="25"/>
      <c r="J16" s="25"/>
    </row>
    <row r="17" spans="1:10" ht="15.5" x14ac:dyDescent="0.35">
      <c r="A17" s="40"/>
      <c r="B17" s="39"/>
      <c r="C17" s="12"/>
      <c r="D17" s="50"/>
      <c r="G17" s="44"/>
      <c r="H17" s="25"/>
      <c r="I17" s="25"/>
      <c r="J17" s="25"/>
    </row>
    <row r="18" spans="1:10" ht="18.5" x14ac:dyDescent="0.65">
      <c r="A18" s="32"/>
      <c r="B18" s="31" t="s">
        <v>55</v>
      </c>
      <c r="C18" s="25"/>
      <c r="D18" s="1"/>
      <c r="G18" s="44"/>
      <c r="H18" s="25"/>
      <c r="I18" s="25"/>
      <c r="J18" s="25"/>
    </row>
    <row r="19" spans="1:10" ht="15.5" x14ac:dyDescent="0.35">
      <c r="A19" s="32" t="s">
        <v>34</v>
      </c>
      <c r="B19" s="33">
        <v>10000</v>
      </c>
      <c r="C19" s="25"/>
      <c r="D19" s="25"/>
      <c r="G19" s="44"/>
      <c r="H19" s="25"/>
      <c r="I19" s="25"/>
      <c r="J19" s="25"/>
    </row>
    <row r="20" spans="1:10" ht="15.5" x14ac:dyDescent="0.35">
      <c r="A20" s="105" t="s">
        <v>156</v>
      </c>
      <c r="B20" s="33">
        <f>B22-B21-B19</f>
        <v>-4000</v>
      </c>
      <c r="C20" s="25"/>
      <c r="D20" s="25"/>
      <c r="G20" s="44"/>
      <c r="H20" s="25"/>
      <c r="I20" s="25"/>
      <c r="J20" s="25"/>
    </row>
    <row r="21" spans="1:10" ht="18.5" x14ac:dyDescent="0.65">
      <c r="A21" s="25" t="s">
        <v>56</v>
      </c>
      <c r="B21" s="36">
        <f>B15</f>
        <v>31000</v>
      </c>
      <c r="C21" s="25"/>
      <c r="G21" s="44">
        <v>2</v>
      </c>
      <c r="H21" s="25"/>
      <c r="I21" s="25"/>
      <c r="J21" s="25"/>
    </row>
    <row r="22" spans="1:10" ht="15.5" x14ac:dyDescent="0.35">
      <c r="A22" s="66" t="s">
        <v>35</v>
      </c>
      <c r="B22" s="67">
        <v>37000</v>
      </c>
      <c r="C22" s="25"/>
      <c r="G22" s="44"/>
      <c r="H22" s="25"/>
      <c r="I22" s="25"/>
      <c r="J22" s="25"/>
    </row>
    <row r="23" spans="1:10" ht="15.5" x14ac:dyDescent="0.35">
      <c r="C23" s="25"/>
      <c r="G23" s="44"/>
      <c r="H23" s="25"/>
      <c r="I23" s="25"/>
      <c r="J23" s="25"/>
    </row>
    <row r="24" spans="1:10" ht="15.5" x14ac:dyDescent="0.35">
      <c r="G24" s="44"/>
      <c r="H24" s="25"/>
      <c r="I24" s="25"/>
      <c r="J24" s="25"/>
    </row>
    <row r="25" spans="1:10" ht="18.5" x14ac:dyDescent="0.65">
      <c r="A25" s="32"/>
      <c r="B25" s="31" t="s">
        <v>160</v>
      </c>
      <c r="C25" s="25"/>
      <c r="D25" s="32"/>
      <c r="E25" s="33"/>
      <c r="G25" s="44"/>
      <c r="H25" s="25"/>
      <c r="I25" s="25"/>
      <c r="J25" s="25"/>
    </row>
    <row r="26" spans="1:10" ht="15.5" x14ac:dyDescent="0.35">
      <c r="A26" s="32" t="s">
        <v>34</v>
      </c>
      <c r="B26" s="33">
        <v>23000</v>
      </c>
      <c r="C26" s="25"/>
      <c r="D26" s="32"/>
      <c r="E26" s="33"/>
      <c r="G26" s="44"/>
      <c r="H26" s="25"/>
      <c r="I26" s="25"/>
      <c r="J26" s="25"/>
    </row>
    <row r="27" spans="1:10" ht="18.5" x14ac:dyDescent="0.65">
      <c r="A27" s="25" t="s">
        <v>161</v>
      </c>
      <c r="B27" s="36">
        <f>B28-B26</f>
        <v>-1000</v>
      </c>
      <c r="C27" s="25"/>
      <c r="D27" s="32"/>
      <c r="E27" s="33"/>
      <c r="G27" s="44">
        <v>1</v>
      </c>
      <c r="H27" s="25"/>
      <c r="I27" s="25"/>
      <c r="J27" s="25"/>
    </row>
    <row r="28" spans="1:10" ht="15.5" x14ac:dyDescent="0.35">
      <c r="A28" s="66" t="s">
        <v>35</v>
      </c>
      <c r="B28" s="67">
        <v>22000</v>
      </c>
      <c r="C28" s="25"/>
      <c r="D28" s="32"/>
      <c r="E28" s="33"/>
      <c r="G28" s="44"/>
      <c r="H28" s="25"/>
      <c r="I28" s="25"/>
      <c r="J28" s="25"/>
    </row>
    <row r="29" spans="1:10" ht="15.5" x14ac:dyDescent="0.35">
      <c r="C29" s="25"/>
      <c r="D29" s="32"/>
      <c r="E29" s="33"/>
      <c r="G29" s="44"/>
      <c r="H29" s="25"/>
      <c r="I29" s="25"/>
      <c r="J29" s="25"/>
    </row>
    <row r="30" spans="1:10" ht="15.5" x14ac:dyDescent="0.35">
      <c r="C30" s="25"/>
      <c r="D30" s="32"/>
      <c r="E30" s="33"/>
      <c r="G30" s="44"/>
      <c r="H30" s="25"/>
      <c r="I30" s="25"/>
      <c r="J30" s="25"/>
    </row>
    <row r="31" spans="1:10" ht="15.5" x14ac:dyDescent="0.35">
      <c r="A31" s="32"/>
      <c r="B31" s="33"/>
      <c r="C31" s="25"/>
      <c r="D31" s="25"/>
      <c r="G31" s="44"/>
      <c r="H31" s="25"/>
      <c r="I31" s="25"/>
      <c r="J31" s="25"/>
    </row>
    <row r="32" spans="1:10" ht="15.5" x14ac:dyDescent="0.35">
      <c r="A32" s="25"/>
      <c r="B32" s="1"/>
      <c r="C32" s="25"/>
      <c r="D32" s="1"/>
      <c r="G32" s="44"/>
      <c r="H32" s="25"/>
      <c r="I32" s="25"/>
      <c r="J32" s="25"/>
    </row>
    <row r="33" spans="1:10" ht="15.5" x14ac:dyDescent="0.35">
      <c r="A33" s="12"/>
      <c r="B33" s="69" t="s">
        <v>39</v>
      </c>
      <c r="C33" s="12"/>
      <c r="D33" s="69" t="s">
        <v>40</v>
      </c>
      <c r="G33" s="44"/>
      <c r="H33" s="25"/>
      <c r="I33" s="25"/>
      <c r="J33" s="25"/>
    </row>
    <row r="34" spans="1:10" ht="15.5" x14ac:dyDescent="0.35">
      <c r="A34" s="40" t="s">
        <v>34</v>
      </c>
      <c r="B34" s="39">
        <v>18000</v>
      </c>
      <c r="C34" s="40" t="s">
        <v>34</v>
      </c>
      <c r="D34" s="39">
        <v>42000</v>
      </c>
      <c r="G34" s="44"/>
      <c r="H34" s="25"/>
      <c r="I34" s="25"/>
      <c r="J34" s="25"/>
    </row>
    <row r="35" spans="1:10" ht="15.5" x14ac:dyDescent="0.35">
      <c r="A35" s="46" t="s">
        <v>41</v>
      </c>
      <c r="B35" s="45">
        <v>15000</v>
      </c>
      <c r="C35" s="46" t="s">
        <v>42</v>
      </c>
      <c r="D35" s="45">
        <v>10000</v>
      </c>
      <c r="G35" s="44">
        <v>2</v>
      </c>
      <c r="H35" s="25"/>
      <c r="I35" s="25"/>
      <c r="J35" s="25"/>
    </row>
    <row r="36" spans="1:10" ht="18.5" x14ac:dyDescent="0.65">
      <c r="A36" s="46" t="s">
        <v>57</v>
      </c>
      <c r="B36" s="48">
        <f>B37-B35-B34</f>
        <v>5000</v>
      </c>
      <c r="C36" s="46" t="s">
        <v>57</v>
      </c>
      <c r="D36" s="48">
        <f>-B36</f>
        <v>-5000</v>
      </c>
      <c r="G36" s="44"/>
      <c r="H36" s="25"/>
      <c r="I36" s="25"/>
      <c r="J36" s="25"/>
    </row>
    <row r="37" spans="1:10" ht="15.5" x14ac:dyDescent="0.35">
      <c r="A37" s="40" t="s">
        <v>35</v>
      </c>
      <c r="B37" s="39">
        <v>38000</v>
      </c>
      <c r="C37" s="40" t="s">
        <v>35</v>
      </c>
      <c r="D37" s="107">
        <f>SUM(D34:D36)</f>
        <v>47000</v>
      </c>
      <c r="E37" s="106"/>
      <c r="G37" s="44"/>
      <c r="H37" s="25"/>
      <c r="I37" s="25"/>
      <c r="J37" s="25"/>
    </row>
    <row r="38" spans="1:10" ht="15.5" x14ac:dyDescent="0.35">
      <c r="A38" s="12"/>
      <c r="B38" s="12"/>
      <c r="C38" s="40"/>
      <c r="D38" s="39"/>
      <c r="G38" s="44"/>
      <c r="H38" s="25"/>
      <c r="I38" s="25"/>
      <c r="J38" s="25"/>
    </row>
    <row r="39" spans="1:10" ht="15.5" x14ac:dyDescent="0.35">
      <c r="A39" s="12"/>
      <c r="B39" s="12"/>
      <c r="C39" s="40"/>
      <c r="D39" s="39"/>
      <c r="G39" s="44"/>
      <c r="H39" s="25"/>
      <c r="I39" s="25"/>
      <c r="J39" s="25"/>
    </row>
    <row r="40" spans="1:10" ht="15.5" x14ac:dyDescent="0.35">
      <c r="A40" s="51"/>
      <c r="B40" s="52" t="s">
        <v>43</v>
      </c>
      <c r="C40" s="53"/>
      <c r="D40" s="54" t="s">
        <v>7</v>
      </c>
      <c r="G40" s="44"/>
      <c r="H40" s="25"/>
      <c r="I40" s="25"/>
      <c r="J40" s="25"/>
    </row>
    <row r="41" spans="1:10" ht="15.5" x14ac:dyDescent="0.35">
      <c r="A41" s="55" t="s">
        <v>34</v>
      </c>
      <c r="B41" s="39">
        <v>5000</v>
      </c>
      <c r="C41" s="40" t="s">
        <v>34</v>
      </c>
      <c r="D41" s="56">
        <v>80000</v>
      </c>
      <c r="G41" s="44"/>
      <c r="H41" s="25"/>
      <c r="I41" s="25"/>
      <c r="J41" s="25"/>
    </row>
    <row r="42" spans="1:10" ht="15.5" x14ac:dyDescent="0.35">
      <c r="A42" s="57" t="s">
        <v>44</v>
      </c>
      <c r="B42" s="45">
        <f>-B41</f>
        <v>-5000</v>
      </c>
      <c r="C42" s="46" t="s">
        <v>59</v>
      </c>
      <c r="D42" s="60">
        <f>D45-D44-D43-D41</f>
        <v>-17000</v>
      </c>
      <c r="G42" s="44">
        <v>3</v>
      </c>
      <c r="H42" s="25"/>
      <c r="I42" s="25"/>
      <c r="J42" s="25"/>
    </row>
    <row r="43" spans="1:10" ht="18.5" x14ac:dyDescent="0.65">
      <c r="A43" s="57" t="s">
        <v>45</v>
      </c>
      <c r="B43" s="48">
        <f>-D43</f>
        <v>3000</v>
      </c>
      <c r="C43" s="46" t="s">
        <v>163</v>
      </c>
      <c r="D43" s="60">
        <v>-3000</v>
      </c>
      <c r="G43" s="44"/>
      <c r="H43" s="25"/>
      <c r="I43" s="25"/>
      <c r="J43" s="25"/>
    </row>
    <row r="44" spans="1:10" ht="18.5" x14ac:dyDescent="0.65">
      <c r="A44" s="55" t="s">
        <v>35</v>
      </c>
      <c r="B44" s="50">
        <f>B43</f>
        <v>3000</v>
      </c>
      <c r="C44" s="46" t="s">
        <v>58</v>
      </c>
      <c r="D44" s="61">
        <f>-3000</f>
        <v>-3000</v>
      </c>
      <c r="G44" s="44"/>
      <c r="H44" s="25"/>
      <c r="I44" s="25"/>
      <c r="J44" s="25"/>
    </row>
    <row r="45" spans="1:10" ht="15.5" x14ac:dyDescent="0.35">
      <c r="C45" s="40" t="s">
        <v>35</v>
      </c>
      <c r="D45" s="56">
        <v>57000</v>
      </c>
      <c r="G45" s="44"/>
      <c r="H45" s="25"/>
      <c r="I45" s="25"/>
      <c r="J45" s="25"/>
    </row>
    <row r="46" spans="1:10" ht="15.5" x14ac:dyDescent="0.35">
      <c r="A46" s="62"/>
      <c r="B46" s="50"/>
      <c r="C46" s="12"/>
      <c r="D46" s="58"/>
      <c r="G46" s="43"/>
      <c r="H46" s="25"/>
      <c r="I46" s="25"/>
      <c r="J46" s="25"/>
    </row>
    <row r="47" spans="1:10" ht="15.5" x14ac:dyDescent="0.35">
      <c r="A47" s="63"/>
      <c r="B47" s="64"/>
      <c r="C47" s="59"/>
      <c r="D47" s="65"/>
      <c r="G47" s="44"/>
      <c r="H47" s="25"/>
      <c r="I47" s="25"/>
      <c r="J47" s="25"/>
    </row>
    <row r="48" spans="1:10" ht="15.5" x14ac:dyDescent="0.35">
      <c r="A48" s="25"/>
      <c r="B48" s="1"/>
      <c r="C48" s="25"/>
      <c r="D48" s="1"/>
      <c r="E48" s="25"/>
      <c r="F48" s="25"/>
      <c r="G48" s="25"/>
      <c r="H48" s="25"/>
      <c r="I48" s="25"/>
      <c r="J48" s="25"/>
    </row>
    <row r="49" spans="1:10" ht="15.5" x14ac:dyDescent="0.35">
      <c r="A49" s="25"/>
      <c r="B49" s="1"/>
      <c r="C49" s="25"/>
      <c r="D49" s="1"/>
      <c r="E49" s="25"/>
      <c r="F49" s="25"/>
      <c r="G49" s="44">
        <f>SUM(G3:G46)</f>
        <v>18</v>
      </c>
      <c r="H49" s="25"/>
      <c r="I49" s="25"/>
      <c r="J49" s="25"/>
    </row>
  </sheetData>
  <mergeCells count="1">
    <mergeCell ref="C12:D12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rightToLeft="1" topLeftCell="A40" workbookViewId="0">
      <selection activeCell="F41" sqref="F41"/>
    </sheetView>
  </sheetViews>
  <sheetFormatPr defaultColWidth="17.75" defaultRowHeight="15.5" x14ac:dyDescent="0.35"/>
  <cols>
    <col min="1" max="1" width="19.83203125" style="1" customWidth="1"/>
    <col min="2" max="2" width="13.08203125" style="1" customWidth="1"/>
    <col min="3" max="3" width="10.58203125" style="1" customWidth="1"/>
    <col min="4" max="4" width="9.58203125" style="1" customWidth="1"/>
    <col min="5" max="5" width="17.58203125" style="1" customWidth="1"/>
    <col min="6" max="6" width="10" style="1" customWidth="1"/>
    <col min="7" max="7" width="4.5" style="2" customWidth="1"/>
    <col min="8" max="8" width="11.25" style="1" customWidth="1"/>
    <col min="9" max="16384" width="17.75" style="1"/>
  </cols>
  <sheetData>
    <row r="1" spans="1:8" ht="18" x14ac:dyDescent="0.4">
      <c r="A1" s="115" t="s">
        <v>17</v>
      </c>
      <c r="B1" s="115"/>
      <c r="C1" s="115"/>
      <c r="H1" s="17" t="s">
        <v>16</v>
      </c>
    </row>
    <row r="2" spans="1:8" x14ac:dyDescent="0.35">
      <c r="A2" s="7"/>
      <c r="H2" s="17"/>
    </row>
    <row r="3" spans="1:8" x14ac:dyDescent="0.35">
      <c r="A3" s="7" t="s">
        <v>48</v>
      </c>
      <c r="H3" s="17"/>
    </row>
    <row r="4" spans="1:8" x14ac:dyDescent="0.35">
      <c r="A4" s="7"/>
      <c r="H4" s="17"/>
    </row>
    <row r="5" spans="1:8" x14ac:dyDescent="0.35">
      <c r="A5" s="75" t="s">
        <v>71</v>
      </c>
      <c r="B5" s="1">
        <v>140000</v>
      </c>
      <c r="C5" s="1" t="s">
        <v>68</v>
      </c>
      <c r="D5" s="1">
        <v>14000</v>
      </c>
      <c r="H5" s="17"/>
    </row>
    <row r="6" spans="1:8" x14ac:dyDescent="0.35">
      <c r="A6" s="75" t="s">
        <v>70</v>
      </c>
      <c r="B6" s="1">
        <v>40000</v>
      </c>
      <c r="C6" s="1" t="s">
        <v>73</v>
      </c>
      <c r="D6" s="1">
        <v>14000</v>
      </c>
      <c r="H6" s="17">
        <v>2</v>
      </c>
    </row>
    <row r="7" spans="1:8" x14ac:dyDescent="0.35">
      <c r="A7" s="75" t="s">
        <v>72</v>
      </c>
      <c r="B7" s="1">
        <f>B5-B6</f>
        <v>100000</v>
      </c>
      <c r="H7" s="17"/>
    </row>
    <row r="8" spans="1:8" x14ac:dyDescent="0.35">
      <c r="A8" s="75"/>
      <c r="H8" s="17"/>
    </row>
    <row r="9" spans="1:8" x14ac:dyDescent="0.35">
      <c r="A9" s="75" t="s">
        <v>68</v>
      </c>
      <c r="B9" s="1">
        <v>44000</v>
      </c>
      <c r="H9" s="17">
        <v>1</v>
      </c>
    </row>
    <row r="10" spans="1:8" x14ac:dyDescent="0.35">
      <c r="A10" s="75" t="s">
        <v>70</v>
      </c>
      <c r="B10" s="1">
        <f>B9</f>
        <v>44000</v>
      </c>
      <c r="H10" s="17"/>
    </row>
    <row r="11" spans="1:8" x14ac:dyDescent="0.35">
      <c r="A11" s="7"/>
      <c r="H11" s="17"/>
    </row>
    <row r="12" spans="1:8" x14ac:dyDescent="0.35">
      <c r="A12" s="75" t="s">
        <v>74</v>
      </c>
      <c r="B12" s="1">
        <v>40000</v>
      </c>
      <c r="H12" s="17"/>
    </row>
    <row r="13" spans="1:8" x14ac:dyDescent="0.35">
      <c r="A13" s="75" t="s">
        <v>75</v>
      </c>
      <c r="B13" s="1">
        <v>40000</v>
      </c>
      <c r="H13" s="17">
        <v>1</v>
      </c>
    </row>
    <row r="14" spans="1:8" x14ac:dyDescent="0.35">
      <c r="A14" s="75"/>
      <c r="H14" s="17"/>
    </row>
    <row r="15" spans="1:8" x14ac:dyDescent="0.35">
      <c r="A15" s="75" t="s">
        <v>71</v>
      </c>
      <c r="B15" s="1">
        <f>7000*6</f>
        <v>42000</v>
      </c>
      <c r="H15" s="17"/>
    </row>
    <row r="16" spans="1:8" x14ac:dyDescent="0.35">
      <c r="A16" s="75" t="s">
        <v>76</v>
      </c>
      <c r="B16" s="1">
        <f>7000*4</f>
        <v>28000</v>
      </c>
      <c r="H16" s="17">
        <v>3</v>
      </c>
    </row>
    <row r="17" spans="1:8" x14ac:dyDescent="0.35">
      <c r="A17" s="75" t="s">
        <v>69</v>
      </c>
      <c r="B17" s="1">
        <v>14000</v>
      </c>
      <c r="H17" s="17"/>
    </row>
    <row r="18" spans="1:8" x14ac:dyDescent="0.35">
      <c r="A18" s="75" t="s">
        <v>72</v>
      </c>
      <c r="B18" s="1">
        <f>B15+B16-B17</f>
        <v>56000</v>
      </c>
      <c r="H18" s="17"/>
    </row>
    <row r="19" spans="1:8" x14ac:dyDescent="0.35">
      <c r="A19" s="75"/>
      <c r="H19" s="17"/>
    </row>
    <row r="20" spans="1:8" x14ac:dyDescent="0.35">
      <c r="A20" s="75" t="s">
        <v>91</v>
      </c>
      <c r="B20" s="1">
        <v>200000</v>
      </c>
      <c r="H20" s="17"/>
    </row>
    <row r="21" spans="1:8" x14ac:dyDescent="0.35">
      <c r="A21" s="75" t="s">
        <v>70</v>
      </c>
      <c r="B21" s="1">
        <v>120000</v>
      </c>
      <c r="H21" s="17">
        <v>1</v>
      </c>
    </row>
    <row r="22" spans="1:8" x14ac:dyDescent="0.35">
      <c r="A22" s="75" t="s">
        <v>72</v>
      </c>
      <c r="B22" s="1">
        <f>B20-B21</f>
        <v>80000</v>
      </c>
      <c r="H22" s="17"/>
    </row>
    <row r="23" spans="1:8" x14ac:dyDescent="0.35">
      <c r="A23" s="75"/>
      <c r="H23" s="17"/>
    </row>
    <row r="24" spans="1:8" x14ac:dyDescent="0.35">
      <c r="A24" s="75" t="s">
        <v>77</v>
      </c>
      <c r="B24" s="1">
        <v>119400</v>
      </c>
      <c r="H24" s="17">
        <v>1</v>
      </c>
    </row>
    <row r="25" spans="1:8" x14ac:dyDescent="0.35">
      <c r="A25" s="75" t="s">
        <v>95</v>
      </c>
      <c r="B25" s="1">
        <f>B24</f>
        <v>119400</v>
      </c>
      <c r="H25" s="17"/>
    </row>
    <row r="26" spans="1:8" x14ac:dyDescent="0.35">
      <c r="A26" s="75"/>
      <c r="H26" s="17"/>
    </row>
    <row r="27" spans="1:8" x14ac:dyDescent="0.35">
      <c r="A27" s="75"/>
      <c r="H27" s="17"/>
    </row>
    <row r="28" spans="1:8" x14ac:dyDescent="0.35">
      <c r="A28" s="7" t="s">
        <v>49</v>
      </c>
      <c r="H28" s="17"/>
    </row>
    <row r="29" spans="1:8" x14ac:dyDescent="0.35">
      <c r="A29" s="7"/>
      <c r="H29" s="17"/>
    </row>
    <row r="30" spans="1:8" x14ac:dyDescent="0.35">
      <c r="A30" s="18" t="s">
        <v>5</v>
      </c>
      <c r="B30" s="18" t="s">
        <v>13</v>
      </c>
      <c r="C30" s="18" t="s">
        <v>6</v>
      </c>
      <c r="D30" s="18" t="s">
        <v>7</v>
      </c>
      <c r="E30" s="18" t="s">
        <v>8</v>
      </c>
      <c r="F30" s="18" t="s">
        <v>9</v>
      </c>
      <c r="G30" s="8"/>
      <c r="H30" s="17"/>
    </row>
    <row r="31" spans="1:8" x14ac:dyDescent="0.35">
      <c r="A31" s="22" t="s">
        <v>89</v>
      </c>
      <c r="B31" s="20">
        <v>180000</v>
      </c>
      <c r="C31" s="83">
        <f>C40-C37-C36-C34-C33-C32</f>
        <v>80000</v>
      </c>
      <c r="D31" s="20">
        <v>220000</v>
      </c>
      <c r="E31" s="20" t="s">
        <v>14</v>
      </c>
      <c r="F31" s="20">
        <f>SUM(B31:E31)</f>
        <v>480000</v>
      </c>
      <c r="G31" s="23"/>
      <c r="H31" s="17">
        <v>2</v>
      </c>
    </row>
    <row r="32" spans="1:8" x14ac:dyDescent="0.35">
      <c r="A32" s="74" t="s">
        <v>51</v>
      </c>
      <c r="B32" s="19">
        <v>40000</v>
      </c>
      <c r="C32" s="19">
        <f>F32-B32</f>
        <v>100000</v>
      </c>
      <c r="D32" s="19"/>
      <c r="E32" s="19"/>
      <c r="F32" s="19">
        <v>140000</v>
      </c>
      <c r="G32" s="23"/>
      <c r="H32" s="17">
        <v>1</v>
      </c>
    </row>
    <row r="33" spans="1:8" x14ac:dyDescent="0.35">
      <c r="A33" s="74" t="s">
        <v>65</v>
      </c>
      <c r="B33" s="19"/>
      <c r="C33" s="19">
        <f>F33</f>
        <v>-14000</v>
      </c>
      <c r="D33" s="19"/>
      <c r="E33" s="19"/>
      <c r="F33" s="19">
        <f>-D5</f>
        <v>-14000</v>
      </c>
      <c r="G33" s="23"/>
      <c r="H33" s="17">
        <v>1</v>
      </c>
    </row>
    <row r="34" spans="1:8" x14ac:dyDescent="0.35">
      <c r="A34" s="21" t="s">
        <v>15</v>
      </c>
      <c r="B34" s="19">
        <f>B9</f>
        <v>44000</v>
      </c>
      <c r="C34" s="19">
        <f>-B34</f>
        <v>-44000</v>
      </c>
      <c r="D34" s="19"/>
      <c r="E34" s="19"/>
      <c r="F34" s="19">
        <f>SUM(B34:E34)</f>
        <v>0</v>
      </c>
      <c r="G34" s="5"/>
      <c r="H34" s="17">
        <v>1</v>
      </c>
    </row>
    <row r="35" spans="1:8" s="13" customFormat="1" x14ac:dyDescent="0.35">
      <c r="A35" s="21" t="s">
        <v>10</v>
      </c>
      <c r="B35" s="21"/>
      <c r="C35" s="21"/>
      <c r="D35" s="21"/>
      <c r="E35" s="21">
        <f>B12</f>
        <v>40000</v>
      </c>
      <c r="F35" s="21">
        <f>B13</f>
        <v>40000</v>
      </c>
      <c r="G35" s="24"/>
      <c r="H35" s="17">
        <v>1</v>
      </c>
    </row>
    <row r="36" spans="1:8" x14ac:dyDescent="0.35">
      <c r="A36" s="21" t="s">
        <v>11</v>
      </c>
      <c r="B36" s="19">
        <f>B17</f>
        <v>14000</v>
      </c>
      <c r="C36" s="19">
        <f>B18</f>
        <v>56000</v>
      </c>
      <c r="D36" s="19"/>
      <c r="E36" s="19">
        <f>-B16</f>
        <v>-28000</v>
      </c>
      <c r="F36" s="19">
        <f>SUM(B36:E36)</f>
        <v>42000</v>
      </c>
      <c r="G36" s="5"/>
      <c r="H36" s="17">
        <v>1</v>
      </c>
    </row>
    <row r="37" spans="1:8" x14ac:dyDescent="0.35">
      <c r="A37" s="21" t="s">
        <v>90</v>
      </c>
      <c r="B37" s="19">
        <f>B21</f>
        <v>120000</v>
      </c>
      <c r="C37" s="19">
        <f>B22</f>
        <v>80000</v>
      </c>
      <c r="D37" s="19"/>
      <c r="E37" s="19"/>
      <c r="F37" s="19">
        <f>SUM(B37:E37)</f>
        <v>200000</v>
      </c>
      <c r="G37" s="5"/>
      <c r="H37" s="17">
        <v>1</v>
      </c>
    </row>
    <row r="38" spans="1:8" x14ac:dyDescent="0.35">
      <c r="A38" s="21" t="s">
        <v>66</v>
      </c>
      <c r="B38" s="19"/>
      <c r="C38" s="19"/>
      <c r="D38" s="19">
        <v>90000</v>
      </c>
      <c r="E38" s="19"/>
      <c r="F38" s="19">
        <f>SUM(B38:E38)</f>
        <v>90000</v>
      </c>
      <c r="G38" s="5"/>
      <c r="H38" s="17">
        <v>1</v>
      </c>
    </row>
    <row r="39" spans="1:8" x14ac:dyDescent="0.35">
      <c r="A39" s="21" t="s">
        <v>12</v>
      </c>
      <c r="B39" s="19"/>
      <c r="C39" s="19"/>
      <c r="D39" s="19">
        <f>-B24</f>
        <v>-119400</v>
      </c>
      <c r="E39" s="19"/>
      <c r="F39" s="19">
        <f>SUM(B39:E39)</f>
        <v>-119400</v>
      </c>
      <c r="G39" s="5"/>
      <c r="H39" s="17">
        <v>1</v>
      </c>
    </row>
    <row r="40" spans="1:8" x14ac:dyDescent="0.35">
      <c r="A40" s="22" t="s">
        <v>50</v>
      </c>
      <c r="B40" s="20">
        <f>SUM(B31:B39)</f>
        <v>398000</v>
      </c>
      <c r="C40" s="20">
        <v>258000</v>
      </c>
      <c r="D40" s="20">
        <f>SUM(D31:D39)</f>
        <v>190600</v>
      </c>
      <c r="E40" s="20">
        <f t="shared" ref="E40" si="0">SUM(E31:E39)</f>
        <v>12000</v>
      </c>
      <c r="F40" s="20">
        <f>SUM(F31:F39)</f>
        <v>858600</v>
      </c>
      <c r="G40" s="23"/>
      <c r="H40" s="17">
        <v>1</v>
      </c>
    </row>
    <row r="41" spans="1:8" x14ac:dyDescent="0.35">
      <c r="H41" s="10"/>
    </row>
    <row r="42" spans="1:8" x14ac:dyDescent="0.35">
      <c r="A42" s="7" t="s">
        <v>61</v>
      </c>
      <c r="H42" s="17"/>
    </row>
    <row r="43" spans="1:8" x14ac:dyDescent="0.35">
      <c r="A43" s="72" t="s">
        <v>63</v>
      </c>
      <c r="B43" s="72"/>
      <c r="C43" s="72"/>
      <c r="D43" s="72"/>
      <c r="E43"/>
      <c r="H43" s="17">
        <v>2</v>
      </c>
    </row>
    <row r="44" spans="1:8" x14ac:dyDescent="0.35">
      <c r="A44" s="72" t="s">
        <v>92</v>
      </c>
      <c r="B44" s="72"/>
      <c r="C44" s="72"/>
      <c r="D44" s="72"/>
      <c r="E44" s="72"/>
      <c r="H44" s="17"/>
    </row>
    <row r="45" spans="1:8" x14ac:dyDescent="0.35">
      <c r="A45" s="72" t="s">
        <v>67</v>
      </c>
      <c r="B45" s="72"/>
      <c r="C45" s="72"/>
      <c r="D45" s="72"/>
      <c r="E45" s="72"/>
      <c r="H45" s="77">
        <v>3</v>
      </c>
    </row>
    <row r="46" spans="1:8" x14ac:dyDescent="0.35">
      <c r="A46" s="72" t="s">
        <v>93</v>
      </c>
      <c r="B46" s="72"/>
      <c r="C46" s="72"/>
      <c r="D46" s="72"/>
      <c r="E46" s="72"/>
      <c r="H46" s="3"/>
    </row>
    <row r="47" spans="1:8" x14ac:dyDescent="0.35">
      <c r="A47" s="1" t="s">
        <v>94</v>
      </c>
      <c r="H47" s="3"/>
    </row>
    <row r="48" spans="1:8" x14ac:dyDescent="0.35">
      <c r="H48" s="17">
        <f>SUM(H2:H45)</f>
        <v>25</v>
      </c>
    </row>
  </sheetData>
  <mergeCells count="1">
    <mergeCell ref="A1:C1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9"/>
  <sheetViews>
    <sheetView rightToLeft="1" tabSelected="1" topLeftCell="A44" zoomScaleNormal="100" workbookViewId="0">
      <selection activeCell="C62" sqref="C62"/>
    </sheetView>
  </sheetViews>
  <sheetFormatPr defaultRowHeight="15.5" x14ac:dyDescent="0.35"/>
  <cols>
    <col min="1" max="1" width="23.75" style="86" customWidth="1"/>
    <col min="2" max="2" width="18.75" style="86" customWidth="1"/>
    <col min="3" max="3" width="15.25" style="86" customWidth="1"/>
    <col min="4" max="4" width="14" style="86" bestFit="1" customWidth="1"/>
    <col min="5" max="5" width="12" style="86" bestFit="1" customWidth="1"/>
    <col min="6" max="6" width="11.58203125" style="86" bestFit="1" customWidth="1"/>
    <col min="7" max="7" width="11.83203125" style="86" customWidth="1"/>
    <col min="8" max="8" width="6.25" style="88" customWidth="1"/>
    <col min="9" max="255" width="8.6640625" style="86"/>
    <col min="256" max="256" width="2" style="86" customWidth="1"/>
    <col min="257" max="257" width="18.33203125" style="86" customWidth="1"/>
    <col min="258" max="258" width="10.25" style="86" customWidth="1"/>
    <col min="259" max="259" width="10.33203125" style="86" customWidth="1"/>
    <col min="260" max="260" width="11.08203125" style="86" customWidth="1"/>
    <col min="261" max="261" width="12.33203125" style="86" customWidth="1"/>
    <col min="262" max="262" width="9.75" style="86" customWidth="1"/>
    <col min="263" max="263" width="11.83203125" style="86" customWidth="1"/>
    <col min="264" max="264" width="6.25" style="86" customWidth="1"/>
    <col min="265" max="511" width="8.6640625" style="86"/>
    <col min="512" max="512" width="2" style="86" customWidth="1"/>
    <col min="513" max="513" width="18.33203125" style="86" customWidth="1"/>
    <col min="514" max="514" width="10.25" style="86" customWidth="1"/>
    <col min="515" max="515" width="10.33203125" style="86" customWidth="1"/>
    <col min="516" max="516" width="11.08203125" style="86" customWidth="1"/>
    <col min="517" max="517" width="12.33203125" style="86" customWidth="1"/>
    <col min="518" max="518" width="9.75" style="86" customWidth="1"/>
    <col min="519" max="519" width="11.83203125" style="86" customWidth="1"/>
    <col min="520" max="520" width="6.25" style="86" customWidth="1"/>
    <col min="521" max="767" width="8.6640625" style="86"/>
    <col min="768" max="768" width="2" style="86" customWidth="1"/>
    <col min="769" max="769" width="18.33203125" style="86" customWidth="1"/>
    <col min="770" max="770" width="10.25" style="86" customWidth="1"/>
    <col min="771" max="771" width="10.33203125" style="86" customWidth="1"/>
    <col min="772" max="772" width="11.08203125" style="86" customWidth="1"/>
    <col min="773" max="773" width="12.33203125" style="86" customWidth="1"/>
    <col min="774" max="774" width="9.75" style="86" customWidth="1"/>
    <col min="775" max="775" width="11.83203125" style="86" customWidth="1"/>
    <col min="776" max="776" width="6.25" style="86" customWidth="1"/>
    <col min="777" max="1023" width="8.6640625" style="86"/>
    <col min="1024" max="1024" width="2" style="86" customWidth="1"/>
    <col min="1025" max="1025" width="18.33203125" style="86" customWidth="1"/>
    <col min="1026" max="1026" width="10.25" style="86" customWidth="1"/>
    <col min="1027" max="1027" width="10.33203125" style="86" customWidth="1"/>
    <col min="1028" max="1028" width="11.08203125" style="86" customWidth="1"/>
    <col min="1029" max="1029" width="12.33203125" style="86" customWidth="1"/>
    <col min="1030" max="1030" width="9.75" style="86" customWidth="1"/>
    <col min="1031" max="1031" width="11.83203125" style="86" customWidth="1"/>
    <col min="1032" max="1032" width="6.25" style="86" customWidth="1"/>
    <col min="1033" max="1279" width="8.6640625" style="86"/>
    <col min="1280" max="1280" width="2" style="86" customWidth="1"/>
    <col min="1281" max="1281" width="18.33203125" style="86" customWidth="1"/>
    <col min="1282" max="1282" width="10.25" style="86" customWidth="1"/>
    <col min="1283" max="1283" width="10.33203125" style="86" customWidth="1"/>
    <col min="1284" max="1284" width="11.08203125" style="86" customWidth="1"/>
    <col min="1285" max="1285" width="12.33203125" style="86" customWidth="1"/>
    <col min="1286" max="1286" width="9.75" style="86" customWidth="1"/>
    <col min="1287" max="1287" width="11.83203125" style="86" customWidth="1"/>
    <col min="1288" max="1288" width="6.25" style="86" customWidth="1"/>
    <col min="1289" max="1535" width="8.6640625" style="86"/>
    <col min="1536" max="1536" width="2" style="86" customWidth="1"/>
    <col min="1537" max="1537" width="18.33203125" style="86" customWidth="1"/>
    <col min="1538" max="1538" width="10.25" style="86" customWidth="1"/>
    <col min="1539" max="1539" width="10.33203125" style="86" customWidth="1"/>
    <col min="1540" max="1540" width="11.08203125" style="86" customWidth="1"/>
    <col min="1541" max="1541" width="12.33203125" style="86" customWidth="1"/>
    <col min="1542" max="1542" width="9.75" style="86" customWidth="1"/>
    <col min="1543" max="1543" width="11.83203125" style="86" customWidth="1"/>
    <col min="1544" max="1544" width="6.25" style="86" customWidth="1"/>
    <col min="1545" max="1791" width="8.6640625" style="86"/>
    <col min="1792" max="1792" width="2" style="86" customWidth="1"/>
    <col min="1793" max="1793" width="18.33203125" style="86" customWidth="1"/>
    <col min="1794" max="1794" width="10.25" style="86" customWidth="1"/>
    <col min="1795" max="1795" width="10.33203125" style="86" customWidth="1"/>
    <col min="1796" max="1796" width="11.08203125" style="86" customWidth="1"/>
    <col min="1797" max="1797" width="12.33203125" style="86" customWidth="1"/>
    <col min="1798" max="1798" width="9.75" style="86" customWidth="1"/>
    <col min="1799" max="1799" width="11.83203125" style="86" customWidth="1"/>
    <col min="1800" max="1800" width="6.25" style="86" customWidth="1"/>
    <col min="1801" max="2047" width="8.6640625" style="86"/>
    <col min="2048" max="2048" width="2" style="86" customWidth="1"/>
    <col min="2049" max="2049" width="18.33203125" style="86" customWidth="1"/>
    <col min="2050" max="2050" width="10.25" style="86" customWidth="1"/>
    <col min="2051" max="2051" width="10.33203125" style="86" customWidth="1"/>
    <col min="2052" max="2052" width="11.08203125" style="86" customWidth="1"/>
    <col min="2053" max="2053" width="12.33203125" style="86" customWidth="1"/>
    <col min="2054" max="2054" width="9.75" style="86" customWidth="1"/>
    <col min="2055" max="2055" width="11.83203125" style="86" customWidth="1"/>
    <col min="2056" max="2056" width="6.25" style="86" customWidth="1"/>
    <col min="2057" max="2303" width="8.6640625" style="86"/>
    <col min="2304" max="2304" width="2" style="86" customWidth="1"/>
    <col min="2305" max="2305" width="18.33203125" style="86" customWidth="1"/>
    <col min="2306" max="2306" width="10.25" style="86" customWidth="1"/>
    <col min="2307" max="2307" width="10.33203125" style="86" customWidth="1"/>
    <col min="2308" max="2308" width="11.08203125" style="86" customWidth="1"/>
    <col min="2309" max="2309" width="12.33203125" style="86" customWidth="1"/>
    <col min="2310" max="2310" width="9.75" style="86" customWidth="1"/>
    <col min="2311" max="2311" width="11.83203125" style="86" customWidth="1"/>
    <col min="2312" max="2312" width="6.25" style="86" customWidth="1"/>
    <col min="2313" max="2559" width="8.6640625" style="86"/>
    <col min="2560" max="2560" width="2" style="86" customWidth="1"/>
    <col min="2561" max="2561" width="18.33203125" style="86" customWidth="1"/>
    <col min="2562" max="2562" width="10.25" style="86" customWidth="1"/>
    <col min="2563" max="2563" width="10.33203125" style="86" customWidth="1"/>
    <col min="2564" max="2564" width="11.08203125" style="86" customWidth="1"/>
    <col min="2565" max="2565" width="12.33203125" style="86" customWidth="1"/>
    <col min="2566" max="2566" width="9.75" style="86" customWidth="1"/>
    <col min="2567" max="2567" width="11.83203125" style="86" customWidth="1"/>
    <col min="2568" max="2568" width="6.25" style="86" customWidth="1"/>
    <col min="2569" max="2815" width="8.6640625" style="86"/>
    <col min="2816" max="2816" width="2" style="86" customWidth="1"/>
    <col min="2817" max="2817" width="18.33203125" style="86" customWidth="1"/>
    <col min="2818" max="2818" width="10.25" style="86" customWidth="1"/>
    <col min="2819" max="2819" width="10.33203125" style="86" customWidth="1"/>
    <col min="2820" max="2820" width="11.08203125" style="86" customWidth="1"/>
    <col min="2821" max="2821" width="12.33203125" style="86" customWidth="1"/>
    <col min="2822" max="2822" width="9.75" style="86" customWidth="1"/>
    <col min="2823" max="2823" width="11.83203125" style="86" customWidth="1"/>
    <col min="2824" max="2824" width="6.25" style="86" customWidth="1"/>
    <col min="2825" max="3071" width="8.6640625" style="86"/>
    <col min="3072" max="3072" width="2" style="86" customWidth="1"/>
    <col min="3073" max="3073" width="18.33203125" style="86" customWidth="1"/>
    <col min="3074" max="3074" width="10.25" style="86" customWidth="1"/>
    <col min="3075" max="3075" width="10.33203125" style="86" customWidth="1"/>
    <col min="3076" max="3076" width="11.08203125" style="86" customWidth="1"/>
    <col min="3077" max="3077" width="12.33203125" style="86" customWidth="1"/>
    <col min="3078" max="3078" width="9.75" style="86" customWidth="1"/>
    <col min="3079" max="3079" width="11.83203125" style="86" customWidth="1"/>
    <col min="3080" max="3080" width="6.25" style="86" customWidth="1"/>
    <col min="3081" max="3327" width="8.6640625" style="86"/>
    <col min="3328" max="3328" width="2" style="86" customWidth="1"/>
    <col min="3329" max="3329" width="18.33203125" style="86" customWidth="1"/>
    <col min="3330" max="3330" width="10.25" style="86" customWidth="1"/>
    <col min="3331" max="3331" width="10.33203125" style="86" customWidth="1"/>
    <col min="3332" max="3332" width="11.08203125" style="86" customWidth="1"/>
    <col min="3333" max="3333" width="12.33203125" style="86" customWidth="1"/>
    <col min="3334" max="3334" width="9.75" style="86" customWidth="1"/>
    <col min="3335" max="3335" width="11.83203125" style="86" customWidth="1"/>
    <col min="3336" max="3336" width="6.25" style="86" customWidth="1"/>
    <col min="3337" max="3583" width="8.6640625" style="86"/>
    <col min="3584" max="3584" width="2" style="86" customWidth="1"/>
    <col min="3585" max="3585" width="18.33203125" style="86" customWidth="1"/>
    <col min="3586" max="3586" width="10.25" style="86" customWidth="1"/>
    <col min="3587" max="3587" width="10.33203125" style="86" customWidth="1"/>
    <col min="3588" max="3588" width="11.08203125" style="86" customWidth="1"/>
    <col min="3589" max="3589" width="12.33203125" style="86" customWidth="1"/>
    <col min="3590" max="3590" width="9.75" style="86" customWidth="1"/>
    <col min="3591" max="3591" width="11.83203125" style="86" customWidth="1"/>
    <col min="3592" max="3592" width="6.25" style="86" customWidth="1"/>
    <col min="3593" max="3839" width="8.6640625" style="86"/>
    <col min="3840" max="3840" width="2" style="86" customWidth="1"/>
    <col min="3841" max="3841" width="18.33203125" style="86" customWidth="1"/>
    <col min="3842" max="3842" width="10.25" style="86" customWidth="1"/>
    <col min="3843" max="3843" width="10.33203125" style="86" customWidth="1"/>
    <col min="3844" max="3844" width="11.08203125" style="86" customWidth="1"/>
    <col min="3845" max="3845" width="12.33203125" style="86" customWidth="1"/>
    <col min="3846" max="3846" width="9.75" style="86" customWidth="1"/>
    <col min="3847" max="3847" width="11.83203125" style="86" customWidth="1"/>
    <col min="3848" max="3848" width="6.25" style="86" customWidth="1"/>
    <col min="3849" max="4095" width="8.6640625" style="86"/>
    <col min="4096" max="4096" width="2" style="86" customWidth="1"/>
    <col min="4097" max="4097" width="18.33203125" style="86" customWidth="1"/>
    <col min="4098" max="4098" width="10.25" style="86" customWidth="1"/>
    <col min="4099" max="4099" width="10.33203125" style="86" customWidth="1"/>
    <col min="4100" max="4100" width="11.08203125" style="86" customWidth="1"/>
    <col min="4101" max="4101" width="12.33203125" style="86" customWidth="1"/>
    <col min="4102" max="4102" width="9.75" style="86" customWidth="1"/>
    <col min="4103" max="4103" width="11.83203125" style="86" customWidth="1"/>
    <col min="4104" max="4104" width="6.25" style="86" customWidth="1"/>
    <col min="4105" max="4351" width="8.6640625" style="86"/>
    <col min="4352" max="4352" width="2" style="86" customWidth="1"/>
    <col min="4353" max="4353" width="18.33203125" style="86" customWidth="1"/>
    <col min="4354" max="4354" width="10.25" style="86" customWidth="1"/>
    <col min="4355" max="4355" width="10.33203125" style="86" customWidth="1"/>
    <col min="4356" max="4356" width="11.08203125" style="86" customWidth="1"/>
    <col min="4357" max="4357" width="12.33203125" style="86" customWidth="1"/>
    <col min="4358" max="4358" width="9.75" style="86" customWidth="1"/>
    <col min="4359" max="4359" width="11.83203125" style="86" customWidth="1"/>
    <col min="4360" max="4360" width="6.25" style="86" customWidth="1"/>
    <col min="4361" max="4607" width="8.6640625" style="86"/>
    <col min="4608" max="4608" width="2" style="86" customWidth="1"/>
    <col min="4609" max="4609" width="18.33203125" style="86" customWidth="1"/>
    <col min="4610" max="4610" width="10.25" style="86" customWidth="1"/>
    <col min="4611" max="4611" width="10.33203125" style="86" customWidth="1"/>
    <col min="4612" max="4612" width="11.08203125" style="86" customWidth="1"/>
    <col min="4613" max="4613" width="12.33203125" style="86" customWidth="1"/>
    <col min="4614" max="4614" width="9.75" style="86" customWidth="1"/>
    <col min="4615" max="4615" width="11.83203125" style="86" customWidth="1"/>
    <col min="4616" max="4616" width="6.25" style="86" customWidth="1"/>
    <col min="4617" max="4863" width="8.6640625" style="86"/>
    <col min="4864" max="4864" width="2" style="86" customWidth="1"/>
    <col min="4865" max="4865" width="18.33203125" style="86" customWidth="1"/>
    <col min="4866" max="4866" width="10.25" style="86" customWidth="1"/>
    <col min="4867" max="4867" width="10.33203125" style="86" customWidth="1"/>
    <col min="4868" max="4868" width="11.08203125" style="86" customWidth="1"/>
    <col min="4869" max="4869" width="12.33203125" style="86" customWidth="1"/>
    <col min="4870" max="4870" width="9.75" style="86" customWidth="1"/>
    <col min="4871" max="4871" width="11.83203125" style="86" customWidth="1"/>
    <col min="4872" max="4872" width="6.25" style="86" customWidth="1"/>
    <col min="4873" max="5119" width="8.6640625" style="86"/>
    <col min="5120" max="5120" width="2" style="86" customWidth="1"/>
    <col min="5121" max="5121" width="18.33203125" style="86" customWidth="1"/>
    <col min="5122" max="5122" width="10.25" style="86" customWidth="1"/>
    <col min="5123" max="5123" width="10.33203125" style="86" customWidth="1"/>
    <col min="5124" max="5124" width="11.08203125" style="86" customWidth="1"/>
    <col min="5125" max="5125" width="12.33203125" style="86" customWidth="1"/>
    <col min="5126" max="5126" width="9.75" style="86" customWidth="1"/>
    <col min="5127" max="5127" width="11.83203125" style="86" customWidth="1"/>
    <col min="5128" max="5128" width="6.25" style="86" customWidth="1"/>
    <col min="5129" max="5375" width="8.6640625" style="86"/>
    <col min="5376" max="5376" width="2" style="86" customWidth="1"/>
    <col min="5377" max="5377" width="18.33203125" style="86" customWidth="1"/>
    <col min="5378" max="5378" width="10.25" style="86" customWidth="1"/>
    <col min="5379" max="5379" width="10.33203125" style="86" customWidth="1"/>
    <col min="5380" max="5380" width="11.08203125" style="86" customWidth="1"/>
    <col min="5381" max="5381" width="12.33203125" style="86" customWidth="1"/>
    <col min="5382" max="5382" width="9.75" style="86" customWidth="1"/>
    <col min="5383" max="5383" width="11.83203125" style="86" customWidth="1"/>
    <col min="5384" max="5384" width="6.25" style="86" customWidth="1"/>
    <col min="5385" max="5631" width="8.6640625" style="86"/>
    <col min="5632" max="5632" width="2" style="86" customWidth="1"/>
    <col min="5633" max="5633" width="18.33203125" style="86" customWidth="1"/>
    <col min="5634" max="5634" width="10.25" style="86" customWidth="1"/>
    <col min="5635" max="5635" width="10.33203125" style="86" customWidth="1"/>
    <col min="5636" max="5636" width="11.08203125" style="86" customWidth="1"/>
    <col min="5637" max="5637" width="12.33203125" style="86" customWidth="1"/>
    <col min="5638" max="5638" width="9.75" style="86" customWidth="1"/>
    <col min="5639" max="5639" width="11.83203125" style="86" customWidth="1"/>
    <col min="5640" max="5640" width="6.25" style="86" customWidth="1"/>
    <col min="5641" max="5887" width="8.6640625" style="86"/>
    <col min="5888" max="5888" width="2" style="86" customWidth="1"/>
    <col min="5889" max="5889" width="18.33203125" style="86" customWidth="1"/>
    <col min="5890" max="5890" width="10.25" style="86" customWidth="1"/>
    <col min="5891" max="5891" width="10.33203125" style="86" customWidth="1"/>
    <col min="5892" max="5892" width="11.08203125" style="86" customWidth="1"/>
    <col min="5893" max="5893" width="12.33203125" style="86" customWidth="1"/>
    <col min="5894" max="5894" width="9.75" style="86" customWidth="1"/>
    <col min="5895" max="5895" width="11.83203125" style="86" customWidth="1"/>
    <col min="5896" max="5896" width="6.25" style="86" customWidth="1"/>
    <col min="5897" max="6143" width="8.6640625" style="86"/>
    <col min="6144" max="6144" width="2" style="86" customWidth="1"/>
    <col min="6145" max="6145" width="18.33203125" style="86" customWidth="1"/>
    <col min="6146" max="6146" width="10.25" style="86" customWidth="1"/>
    <col min="6147" max="6147" width="10.33203125" style="86" customWidth="1"/>
    <col min="6148" max="6148" width="11.08203125" style="86" customWidth="1"/>
    <col min="6149" max="6149" width="12.33203125" style="86" customWidth="1"/>
    <col min="6150" max="6150" width="9.75" style="86" customWidth="1"/>
    <col min="6151" max="6151" width="11.83203125" style="86" customWidth="1"/>
    <col min="6152" max="6152" width="6.25" style="86" customWidth="1"/>
    <col min="6153" max="6399" width="8.6640625" style="86"/>
    <col min="6400" max="6400" width="2" style="86" customWidth="1"/>
    <col min="6401" max="6401" width="18.33203125" style="86" customWidth="1"/>
    <col min="6402" max="6402" width="10.25" style="86" customWidth="1"/>
    <col min="6403" max="6403" width="10.33203125" style="86" customWidth="1"/>
    <col min="6404" max="6404" width="11.08203125" style="86" customWidth="1"/>
    <col min="6405" max="6405" width="12.33203125" style="86" customWidth="1"/>
    <col min="6406" max="6406" width="9.75" style="86" customWidth="1"/>
    <col min="6407" max="6407" width="11.83203125" style="86" customWidth="1"/>
    <col min="6408" max="6408" width="6.25" style="86" customWidth="1"/>
    <col min="6409" max="6655" width="8.6640625" style="86"/>
    <col min="6656" max="6656" width="2" style="86" customWidth="1"/>
    <col min="6657" max="6657" width="18.33203125" style="86" customWidth="1"/>
    <col min="6658" max="6658" width="10.25" style="86" customWidth="1"/>
    <col min="6659" max="6659" width="10.33203125" style="86" customWidth="1"/>
    <col min="6660" max="6660" width="11.08203125" style="86" customWidth="1"/>
    <col min="6661" max="6661" width="12.33203125" style="86" customWidth="1"/>
    <col min="6662" max="6662" width="9.75" style="86" customWidth="1"/>
    <col min="6663" max="6663" width="11.83203125" style="86" customWidth="1"/>
    <col min="6664" max="6664" width="6.25" style="86" customWidth="1"/>
    <col min="6665" max="6911" width="8.6640625" style="86"/>
    <col min="6912" max="6912" width="2" style="86" customWidth="1"/>
    <col min="6913" max="6913" width="18.33203125" style="86" customWidth="1"/>
    <col min="6914" max="6914" width="10.25" style="86" customWidth="1"/>
    <col min="6915" max="6915" width="10.33203125" style="86" customWidth="1"/>
    <col min="6916" max="6916" width="11.08203125" style="86" customWidth="1"/>
    <col min="6917" max="6917" width="12.33203125" style="86" customWidth="1"/>
    <col min="6918" max="6918" width="9.75" style="86" customWidth="1"/>
    <col min="6919" max="6919" width="11.83203125" style="86" customWidth="1"/>
    <col min="6920" max="6920" width="6.25" style="86" customWidth="1"/>
    <col min="6921" max="7167" width="8.6640625" style="86"/>
    <col min="7168" max="7168" width="2" style="86" customWidth="1"/>
    <col min="7169" max="7169" width="18.33203125" style="86" customWidth="1"/>
    <col min="7170" max="7170" width="10.25" style="86" customWidth="1"/>
    <col min="7171" max="7171" width="10.33203125" style="86" customWidth="1"/>
    <col min="7172" max="7172" width="11.08203125" style="86" customWidth="1"/>
    <col min="7173" max="7173" width="12.33203125" style="86" customWidth="1"/>
    <col min="7174" max="7174" width="9.75" style="86" customWidth="1"/>
    <col min="7175" max="7175" width="11.83203125" style="86" customWidth="1"/>
    <col min="7176" max="7176" width="6.25" style="86" customWidth="1"/>
    <col min="7177" max="7423" width="8.6640625" style="86"/>
    <col min="7424" max="7424" width="2" style="86" customWidth="1"/>
    <col min="7425" max="7425" width="18.33203125" style="86" customWidth="1"/>
    <col min="7426" max="7426" width="10.25" style="86" customWidth="1"/>
    <col min="7427" max="7427" width="10.33203125" style="86" customWidth="1"/>
    <col min="7428" max="7428" width="11.08203125" style="86" customWidth="1"/>
    <col min="7429" max="7429" width="12.33203125" style="86" customWidth="1"/>
    <col min="7430" max="7430" width="9.75" style="86" customWidth="1"/>
    <col min="7431" max="7431" width="11.83203125" style="86" customWidth="1"/>
    <col min="7432" max="7432" width="6.25" style="86" customWidth="1"/>
    <col min="7433" max="7679" width="8.6640625" style="86"/>
    <col min="7680" max="7680" width="2" style="86" customWidth="1"/>
    <col min="7681" max="7681" width="18.33203125" style="86" customWidth="1"/>
    <col min="7682" max="7682" width="10.25" style="86" customWidth="1"/>
    <col min="7683" max="7683" width="10.33203125" style="86" customWidth="1"/>
    <col min="7684" max="7684" width="11.08203125" style="86" customWidth="1"/>
    <col min="7685" max="7685" width="12.33203125" style="86" customWidth="1"/>
    <col min="7686" max="7686" width="9.75" style="86" customWidth="1"/>
    <col min="7687" max="7687" width="11.83203125" style="86" customWidth="1"/>
    <col min="7688" max="7688" width="6.25" style="86" customWidth="1"/>
    <col min="7689" max="7935" width="8.6640625" style="86"/>
    <col min="7936" max="7936" width="2" style="86" customWidth="1"/>
    <col min="7937" max="7937" width="18.33203125" style="86" customWidth="1"/>
    <col min="7938" max="7938" width="10.25" style="86" customWidth="1"/>
    <col min="7939" max="7939" width="10.33203125" style="86" customWidth="1"/>
    <col min="7940" max="7940" width="11.08203125" style="86" customWidth="1"/>
    <col min="7941" max="7941" width="12.33203125" style="86" customWidth="1"/>
    <col min="7942" max="7942" width="9.75" style="86" customWidth="1"/>
    <col min="7943" max="7943" width="11.83203125" style="86" customWidth="1"/>
    <col min="7944" max="7944" width="6.25" style="86" customWidth="1"/>
    <col min="7945" max="8191" width="8.6640625" style="86"/>
    <col min="8192" max="8192" width="2" style="86" customWidth="1"/>
    <col min="8193" max="8193" width="18.33203125" style="86" customWidth="1"/>
    <col min="8194" max="8194" width="10.25" style="86" customWidth="1"/>
    <col min="8195" max="8195" width="10.33203125" style="86" customWidth="1"/>
    <col min="8196" max="8196" width="11.08203125" style="86" customWidth="1"/>
    <col min="8197" max="8197" width="12.33203125" style="86" customWidth="1"/>
    <col min="8198" max="8198" width="9.75" style="86" customWidth="1"/>
    <col min="8199" max="8199" width="11.83203125" style="86" customWidth="1"/>
    <col min="8200" max="8200" width="6.25" style="86" customWidth="1"/>
    <col min="8201" max="8447" width="8.6640625" style="86"/>
    <col min="8448" max="8448" width="2" style="86" customWidth="1"/>
    <col min="8449" max="8449" width="18.33203125" style="86" customWidth="1"/>
    <col min="8450" max="8450" width="10.25" style="86" customWidth="1"/>
    <col min="8451" max="8451" width="10.33203125" style="86" customWidth="1"/>
    <col min="8452" max="8452" width="11.08203125" style="86" customWidth="1"/>
    <col min="8453" max="8453" width="12.33203125" style="86" customWidth="1"/>
    <col min="8454" max="8454" width="9.75" style="86" customWidth="1"/>
    <col min="8455" max="8455" width="11.83203125" style="86" customWidth="1"/>
    <col min="8456" max="8456" width="6.25" style="86" customWidth="1"/>
    <col min="8457" max="8703" width="8.6640625" style="86"/>
    <col min="8704" max="8704" width="2" style="86" customWidth="1"/>
    <col min="8705" max="8705" width="18.33203125" style="86" customWidth="1"/>
    <col min="8706" max="8706" width="10.25" style="86" customWidth="1"/>
    <col min="8707" max="8707" width="10.33203125" style="86" customWidth="1"/>
    <col min="8708" max="8708" width="11.08203125" style="86" customWidth="1"/>
    <col min="8709" max="8709" width="12.33203125" style="86" customWidth="1"/>
    <col min="8710" max="8710" width="9.75" style="86" customWidth="1"/>
    <col min="8711" max="8711" width="11.83203125" style="86" customWidth="1"/>
    <col min="8712" max="8712" width="6.25" style="86" customWidth="1"/>
    <col min="8713" max="8959" width="8.6640625" style="86"/>
    <col min="8960" max="8960" width="2" style="86" customWidth="1"/>
    <col min="8961" max="8961" width="18.33203125" style="86" customWidth="1"/>
    <col min="8962" max="8962" width="10.25" style="86" customWidth="1"/>
    <col min="8963" max="8963" width="10.33203125" style="86" customWidth="1"/>
    <col min="8964" max="8964" width="11.08203125" style="86" customWidth="1"/>
    <col min="8965" max="8965" width="12.33203125" style="86" customWidth="1"/>
    <col min="8966" max="8966" width="9.75" style="86" customWidth="1"/>
    <col min="8967" max="8967" width="11.83203125" style="86" customWidth="1"/>
    <col min="8968" max="8968" width="6.25" style="86" customWidth="1"/>
    <col min="8969" max="9215" width="8.6640625" style="86"/>
    <col min="9216" max="9216" width="2" style="86" customWidth="1"/>
    <col min="9217" max="9217" width="18.33203125" style="86" customWidth="1"/>
    <col min="9218" max="9218" width="10.25" style="86" customWidth="1"/>
    <col min="9219" max="9219" width="10.33203125" style="86" customWidth="1"/>
    <col min="9220" max="9220" width="11.08203125" style="86" customWidth="1"/>
    <col min="9221" max="9221" width="12.33203125" style="86" customWidth="1"/>
    <col min="9222" max="9222" width="9.75" style="86" customWidth="1"/>
    <col min="9223" max="9223" width="11.83203125" style="86" customWidth="1"/>
    <col min="9224" max="9224" width="6.25" style="86" customWidth="1"/>
    <col min="9225" max="9471" width="8.6640625" style="86"/>
    <col min="9472" max="9472" width="2" style="86" customWidth="1"/>
    <col min="9473" max="9473" width="18.33203125" style="86" customWidth="1"/>
    <col min="9474" max="9474" width="10.25" style="86" customWidth="1"/>
    <col min="9475" max="9475" width="10.33203125" style="86" customWidth="1"/>
    <col min="9476" max="9476" width="11.08203125" style="86" customWidth="1"/>
    <col min="9477" max="9477" width="12.33203125" style="86" customWidth="1"/>
    <col min="9478" max="9478" width="9.75" style="86" customWidth="1"/>
    <col min="9479" max="9479" width="11.83203125" style="86" customWidth="1"/>
    <col min="9480" max="9480" width="6.25" style="86" customWidth="1"/>
    <col min="9481" max="9727" width="8.6640625" style="86"/>
    <col min="9728" max="9728" width="2" style="86" customWidth="1"/>
    <col min="9729" max="9729" width="18.33203125" style="86" customWidth="1"/>
    <col min="9730" max="9730" width="10.25" style="86" customWidth="1"/>
    <col min="9731" max="9731" width="10.33203125" style="86" customWidth="1"/>
    <col min="9732" max="9732" width="11.08203125" style="86" customWidth="1"/>
    <col min="9733" max="9733" width="12.33203125" style="86" customWidth="1"/>
    <col min="9734" max="9734" width="9.75" style="86" customWidth="1"/>
    <col min="9735" max="9735" width="11.83203125" style="86" customWidth="1"/>
    <col min="9736" max="9736" width="6.25" style="86" customWidth="1"/>
    <col min="9737" max="9983" width="8.6640625" style="86"/>
    <col min="9984" max="9984" width="2" style="86" customWidth="1"/>
    <col min="9985" max="9985" width="18.33203125" style="86" customWidth="1"/>
    <col min="9986" max="9986" width="10.25" style="86" customWidth="1"/>
    <col min="9987" max="9987" width="10.33203125" style="86" customWidth="1"/>
    <col min="9988" max="9988" width="11.08203125" style="86" customWidth="1"/>
    <col min="9989" max="9989" width="12.33203125" style="86" customWidth="1"/>
    <col min="9990" max="9990" width="9.75" style="86" customWidth="1"/>
    <col min="9991" max="9991" width="11.83203125" style="86" customWidth="1"/>
    <col min="9992" max="9992" width="6.25" style="86" customWidth="1"/>
    <col min="9993" max="10239" width="8.6640625" style="86"/>
    <col min="10240" max="10240" width="2" style="86" customWidth="1"/>
    <col min="10241" max="10241" width="18.33203125" style="86" customWidth="1"/>
    <col min="10242" max="10242" width="10.25" style="86" customWidth="1"/>
    <col min="10243" max="10243" width="10.33203125" style="86" customWidth="1"/>
    <col min="10244" max="10244" width="11.08203125" style="86" customWidth="1"/>
    <col min="10245" max="10245" width="12.33203125" style="86" customWidth="1"/>
    <col min="10246" max="10246" width="9.75" style="86" customWidth="1"/>
    <col min="10247" max="10247" width="11.83203125" style="86" customWidth="1"/>
    <col min="10248" max="10248" width="6.25" style="86" customWidth="1"/>
    <col min="10249" max="10495" width="8.6640625" style="86"/>
    <col min="10496" max="10496" width="2" style="86" customWidth="1"/>
    <col min="10497" max="10497" width="18.33203125" style="86" customWidth="1"/>
    <col min="10498" max="10498" width="10.25" style="86" customWidth="1"/>
    <col min="10499" max="10499" width="10.33203125" style="86" customWidth="1"/>
    <col min="10500" max="10500" width="11.08203125" style="86" customWidth="1"/>
    <col min="10501" max="10501" width="12.33203125" style="86" customWidth="1"/>
    <col min="10502" max="10502" width="9.75" style="86" customWidth="1"/>
    <col min="10503" max="10503" width="11.83203125" style="86" customWidth="1"/>
    <col min="10504" max="10504" width="6.25" style="86" customWidth="1"/>
    <col min="10505" max="10751" width="8.6640625" style="86"/>
    <col min="10752" max="10752" width="2" style="86" customWidth="1"/>
    <col min="10753" max="10753" width="18.33203125" style="86" customWidth="1"/>
    <col min="10754" max="10754" width="10.25" style="86" customWidth="1"/>
    <col min="10755" max="10755" width="10.33203125" style="86" customWidth="1"/>
    <col min="10756" max="10756" width="11.08203125" style="86" customWidth="1"/>
    <col min="10757" max="10757" width="12.33203125" style="86" customWidth="1"/>
    <col min="10758" max="10758" width="9.75" style="86" customWidth="1"/>
    <col min="10759" max="10759" width="11.83203125" style="86" customWidth="1"/>
    <col min="10760" max="10760" width="6.25" style="86" customWidth="1"/>
    <col min="10761" max="11007" width="8.6640625" style="86"/>
    <col min="11008" max="11008" width="2" style="86" customWidth="1"/>
    <col min="11009" max="11009" width="18.33203125" style="86" customWidth="1"/>
    <col min="11010" max="11010" width="10.25" style="86" customWidth="1"/>
    <col min="11011" max="11011" width="10.33203125" style="86" customWidth="1"/>
    <col min="11012" max="11012" width="11.08203125" style="86" customWidth="1"/>
    <col min="11013" max="11013" width="12.33203125" style="86" customWidth="1"/>
    <col min="11014" max="11014" width="9.75" style="86" customWidth="1"/>
    <col min="11015" max="11015" width="11.83203125" style="86" customWidth="1"/>
    <col min="11016" max="11016" width="6.25" style="86" customWidth="1"/>
    <col min="11017" max="11263" width="8.6640625" style="86"/>
    <col min="11264" max="11264" width="2" style="86" customWidth="1"/>
    <col min="11265" max="11265" width="18.33203125" style="86" customWidth="1"/>
    <col min="11266" max="11266" width="10.25" style="86" customWidth="1"/>
    <col min="11267" max="11267" width="10.33203125" style="86" customWidth="1"/>
    <col min="11268" max="11268" width="11.08203125" style="86" customWidth="1"/>
    <col min="11269" max="11269" width="12.33203125" style="86" customWidth="1"/>
    <col min="11270" max="11270" width="9.75" style="86" customWidth="1"/>
    <col min="11271" max="11271" width="11.83203125" style="86" customWidth="1"/>
    <col min="11272" max="11272" width="6.25" style="86" customWidth="1"/>
    <col min="11273" max="11519" width="8.6640625" style="86"/>
    <col min="11520" max="11520" width="2" style="86" customWidth="1"/>
    <col min="11521" max="11521" width="18.33203125" style="86" customWidth="1"/>
    <col min="11522" max="11522" width="10.25" style="86" customWidth="1"/>
    <col min="11523" max="11523" width="10.33203125" style="86" customWidth="1"/>
    <col min="11524" max="11524" width="11.08203125" style="86" customWidth="1"/>
    <col min="11525" max="11525" width="12.33203125" style="86" customWidth="1"/>
    <col min="11526" max="11526" width="9.75" style="86" customWidth="1"/>
    <col min="11527" max="11527" width="11.83203125" style="86" customWidth="1"/>
    <col min="11528" max="11528" width="6.25" style="86" customWidth="1"/>
    <col min="11529" max="11775" width="8.6640625" style="86"/>
    <col min="11776" max="11776" width="2" style="86" customWidth="1"/>
    <col min="11777" max="11777" width="18.33203125" style="86" customWidth="1"/>
    <col min="11778" max="11778" width="10.25" style="86" customWidth="1"/>
    <col min="11779" max="11779" width="10.33203125" style="86" customWidth="1"/>
    <col min="11780" max="11780" width="11.08203125" style="86" customWidth="1"/>
    <col min="11781" max="11781" width="12.33203125" style="86" customWidth="1"/>
    <col min="11782" max="11782" width="9.75" style="86" customWidth="1"/>
    <col min="11783" max="11783" width="11.83203125" style="86" customWidth="1"/>
    <col min="11784" max="11784" width="6.25" style="86" customWidth="1"/>
    <col min="11785" max="12031" width="8.6640625" style="86"/>
    <col min="12032" max="12032" width="2" style="86" customWidth="1"/>
    <col min="12033" max="12033" width="18.33203125" style="86" customWidth="1"/>
    <col min="12034" max="12034" width="10.25" style="86" customWidth="1"/>
    <col min="12035" max="12035" width="10.33203125" style="86" customWidth="1"/>
    <col min="12036" max="12036" width="11.08203125" style="86" customWidth="1"/>
    <col min="12037" max="12037" width="12.33203125" style="86" customWidth="1"/>
    <col min="12038" max="12038" width="9.75" style="86" customWidth="1"/>
    <col min="12039" max="12039" width="11.83203125" style="86" customWidth="1"/>
    <col min="12040" max="12040" width="6.25" style="86" customWidth="1"/>
    <col min="12041" max="12287" width="8.6640625" style="86"/>
    <col min="12288" max="12288" width="2" style="86" customWidth="1"/>
    <col min="12289" max="12289" width="18.33203125" style="86" customWidth="1"/>
    <col min="12290" max="12290" width="10.25" style="86" customWidth="1"/>
    <col min="12291" max="12291" width="10.33203125" style="86" customWidth="1"/>
    <col min="12292" max="12292" width="11.08203125" style="86" customWidth="1"/>
    <col min="12293" max="12293" width="12.33203125" style="86" customWidth="1"/>
    <col min="12294" max="12294" width="9.75" style="86" customWidth="1"/>
    <col min="12295" max="12295" width="11.83203125" style="86" customWidth="1"/>
    <col min="12296" max="12296" width="6.25" style="86" customWidth="1"/>
    <col min="12297" max="12543" width="8.6640625" style="86"/>
    <col min="12544" max="12544" width="2" style="86" customWidth="1"/>
    <col min="12545" max="12545" width="18.33203125" style="86" customWidth="1"/>
    <col min="12546" max="12546" width="10.25" style="86" customWidth="1"/>
    <col min="12547" max="12547" width="10.33203125" style="86" customWidth="1"/>
    <col min="12548" max="12548" width="11.08203125" style="86" customWidth="1"/>
    <col min="12549" max="12549" width="12.33203125" style="86" customWidth="1"/>
    <col min="12550" max="12550" width="9.75" style="86" customWidth="1"/>
    <col min="12551" max="12551" width="11.83203125" style="86" customWidth="1"/>
    <col min="12552" max="12552" width="6.25" style="86" customWidth="1"/>
    <col min="12553" max="12799" width="8.6640625" style="86"/>
    <col min="12800" max="12800" width="2" style="86" customWidth="1"/>
    <col min="12801" max="12801" width="18.33203125" style="86" customWidth="1"/>
    <col min="12802" max="12802" width="10.25" style="86" customWidth="1"/>
    <col min="12803" max="12803" width="10.33203125" style="86" customWidth="1"/>
    <col min="12804" max="12804" width="11.08203125" style="86" customWidth="1"/>
    <col min="12805" max="12805" width="12.33203125" style="86" customWidth="1"/>
    <col min="12806" max="12806" width="9.75" style="86" customWidth="1"/>
    <col min="12807" max="12807" width="11.83203125" style="86" customWidth="1"/>
    <col min="12808" max="12808" width="6.25" style="86" customWidth="1"/>
    <col min="12809" max="13055" width="8.6640625" style="86"/>
    <col min="13056" max="13056" width="2" style="86" customWidth="1"/>
    <col min="13057" max="13057" width="18.33203125" style="86" customWidth="1"/>
    <col min="13058" max="13058" width="10.25" style="86" customWidth="1"/>
    <col min="13059" max="13059" width="10.33203125" style="86" customWidth="1"/>
    <col min="13060" max="13060" width="11.08203125" style="86" customWidth="1"/>
    <col min="13061" max="13061" width="12.33203125" style="86" customWidth="1"/>
    <col min="13062" max="13062" width="9.75" style="86" customWidth="1"/>
    <col min="13063" max="13063" width="11.83203125" style="86" customWidth="1"/>
    <col min="13064" max="13064" width="6.25" style="86" customWidth="1"/>
    <col min="13065" max="13311" width="8.6640625" style="86"/>
    <col min="13312" max="13312" width="2" style="86" customWidth="1"/>
    <col min="13313" max="13313" width="18.33203125" style="86" customWidth="1"/>
    <col min="13314" max="13314" width="10.25" style="86" customWidth="1"/>
    <col min="13315" max="13315" width="10.33203125" style="86" customWidth="1"/>
    <col min="13316" max="13316" width="11.08203125" style="86" customWidth="1"/>
    <col min="13317" max="13317" width="12.33203125" style="86" customWidth="1"/>
    <col min="13318" max="13318" width="9.75" style="86" customWidth="1"/>
    <col min="13319" max="13319" width="11.83203125" style="86" customWidth="1"/>
    <col min="13320" max="13320" width="6.25" style="86" customWidth="1"/>
    <col min="13321" max="13567" width="8.6640625" style="86"/>
    <col min="13568" max="13568" width="2" style="86" customWidth="1"/>
    <col min="13569" max="13569" width="18.33203125" style="86" customWidth="1"/>
    <col min="13570" max="13570" width="10.25" style="86" customWidth="1"/>
    <col min="13571" max="13571" width="10.33203125" style="86" customWidth="1"/>
    <col min="13572" max="13572" width="11.08203125" style="86" customWidth="1"/>
    <col min="13573" max="13573" width="12.33203125" style="86" customWidth="1"/>
    <col min="13574" max="13574" width="9.75" style="86" customWidth="1"/>
    <col min="13575" max="13575" width="11.83203125" style="86" customWidth="1"/>
    <col min="13576" max="13576" width="6.25" style="86" customWidth="1"/>
    <col min="13577" max="13823" width="8.6640625" style="86"/>
    <col min="13824" max="13824" width="2" style="86" customWidth="1"/>
    <col min="13825" max="13825" width="18.33203125" style="86" customWidth="1"/>
    <col min="13826" max="13826" width="10.25" style="86" customWidth="1"/>
    <col min="13827" max="13827" width="10.33203125" style="86" customWidth="1"/>
    <col min="13828" max="13828" width="11.08203125" style="86" customWidth="1"/>
    <col min="13829" max="13829" width="12.33203125" style="86" customWidth="1"/>
    <col min="13830" max="13830" width="9.75" style="86" customWidth="1"/>
    <col min="13831" max="13831" width="11.83203125" style="86" customWidth="1"/>
    <col min="13832" max="13832" width="6.25" style="86" customWidth="1"/>
    <col min="13833" max="14079" width="8.6640625" style="86"/>
    <col min="14080" max="14080" width="2" style="86" customWidth="1"/>
    <col min="14081" max="14081" width="18.33203125" style="86" customWidth="1"/>
    <col min="14082" max="14082" width="10.25" style="86" customWidth="1"/>
    <col min="14083" max="14083" width="10.33203125" style="86" customWidth="1"/>
    <col min="14084" max="14084" width="11.08203125" style="86" customWidth="1"/>
    <col min="14085" max="14085" width="12.33203125" style="86" customWidth="1"/>
    <col min="14086" max="14086" width="9.75" style="86" customWidth="1"/>
    <col min="14087" max="14087" width="11.83203125" style="86" customWidth="1"/>
    <col min="14088" max="14088" width="6.25" style="86" customWidth="1"/>
    <col min="14089" max="14335" width="8.6640625" style="86"/>
    <col min="14336" max="14336" width="2" style="86" customWidth="1"/>
    <col min="14337" max="14337" width="18.33203125" style="86" customWidth="1"/>
    <col min="14338" max="14338" width="10.25" style="86" customWidth="1"/>
    <col min="14339" max="14339" width="10.33203125" style="86" customWidth="1"/>
    <col min="14340" max="14340" width="11.08203125" style="86" customWidth="1"/>
    <col min="14341" max="14341" width="12.33203125" style="86" customWidth="1"/>
    <col min="14342" max="14342" width="9.75" style="86" customWidth="1"/>
    <col min="14343" max="14343" width="11.83203125" style="86" customWidth="1"/>
    <col min="14344" max="14344" width="6.25" style="86" customWidth="1"/>
    <col min="14345" max="14591" width="8.6640625" style="86"/>
    <col min="14592" max="14592" width="2" style="86" customWidth="1"/>
    <col min="14593" max="14593" width="18.33203125" style="86" customWidth="1"/>
    <col min="14594" max="14594" width="10.25" style="86" customWidth="1"/>
    <col min="14595" max="14595" width="10.33203125" style="86" customWidth="1"/>
    <col min="14596" max="14596" width="11.08203125" style="86" customWidth="1"/>
    <col min="14597" max="14597" width="12.33203125" style="86" customWidth="1"/>
    <col min="14598" max="14598" width="9.75" style="86" customWidth="1"/>
    <col min="14599" max="14599" width="11.83203125" style="86" customWidth="1"/>
    <col min="14600" max="14600" width="6.25" style="86" customWidth="1"/>
    <col min="14601" max="14847" width="8.6640625" style="86"/>
    <col min="14848" max="14848" width="2" style="86" customWidth="1"/>
    <col min="14849" max="14849" width="18.33203125" style="86" customWidth="1"/>
    <col min="14850" max="14850" width="10.25" style="86" customWidth="1"/>
    <col min="14851" max="14851" width="10.33203125" style="86" customWidth="1"/>
    <col min="14852" max="14852" width="11.08203125" style="86" customWidth="1"/>
    <col min="14853" max="14853" width="12.33203125" style="86" customWidth="1"/>
    <col min="14854" max="14854" width="9.75" style="86" customWidth="1"/>
    <col min="14855" max="14855" width="11.83203125" style="86" customWidth="1"/>
    <col min="14856" max="14856" width="6.25" style="86" customWidth="1"/>
    <col min="14857" max="15103" width="8.6640625" style="86"/>
    <col min="15104" max="15104" width="2" style="86" customWidth="1"/>
    <col min="15105" max="15105" width="18.33203125" style="86" customWidth="1"/>
    <col min="15106" max="15106" width="10.25" style="86" customWidth="1"/>
    <col min="15107" max="15107" width="10.33203125" style="86" customWidth="1"/>
    <col min="15108" max="15108" width="11.08203125" style="86" customWidth="1"/>
    <col min="15109" max="15109" width="12.33203125" style="86" customWidth="1"/>
    <col min="15110" max="15110" width="9.75" style="86" customWidth="1"/>
    <col min="15111" max="15111" width="11.83203125" style="86" customWidth="1"/>
    <col min="15112" max="15112" width="6.25" style="86" customWidth="1"/>
    <col min="15113" max="15359" width="8.6640625" style="86"/>
    <col min="15360" max="15360" width="2" style="86" customWidth="1"/>
    <col min="15361" max="15361" width="18.33203125" style="86" customWidth="1"/>
    <col min="15362" max="15362" width="10.25" style="86" customWidth="1"/>
    <col min="15363" max="15363" width="10.33203125" style="86" customWidth="1"/>
    <col min="15364" max="15364" width="11.08203125" style="86" customWidth="1"/>
    <col min="15365" max="15365" width="12.33203125" style="86" customWidth="1"/>
    <col min="15366" max="15366" width="9.75" style="86" customWidth="1"/>
    <col min="15367" max="15367" width="11.83203125" style="86" customWidth="1"/>
    <col min="15368" max="15368" width="6.25" style="86" customWidth="1"/>
    <col min="15369" max="15615" width="8.6640625" style="86"/>
    <col min="15616" max="15616" width="2" style="86" customWidth="1"/>
    <col min="15617" max="15617" width="18.33203125" style="86" customWidth="1"/>
    <col min="15618" max="15618" width="10.25" style="86" customWidth="1"/>
    <col min="15619" max="15619" width="10.33203125" style="86" customWidth="1"/>
    <col min="15620" max="15620" width="11.08203125" style="86" customWidth="1"/>
    <col min="15621" max="15621" width="12.33203125" style="86" customWidth="1"/>
    <col min="15622" max="15622" width="9.75" style="86" customWidth="1"/>
    <col min="15623" max="15623" width="11.83203125" style="86" customWidth="1"/>
    <col min="15624" max="15624" width="6.25" style="86" customWidth="1"/>
    <col min="15625" max="15871" width="8.6640625" style="86"/>
    <col min="15872" max="15872" width="2" style="86" customWidth="1"/>
    <col min="15873" max="15873" width="18.33203125" style="86" customWidth="1"/>
    <col min="15874" max="15874" width="10.25" style="86" customWidth="1"/>
    <col min="15875" max="15875" width="10.33203125" style="86" customWidth="1"/>
    <col min="15876" max="15876" width="11.08203125" style="86" customWidth="1"/>
    <col min="15877" max="15877" width="12.33203125" style="86" customWidth="1"/>
    <col min="15878" max="15878" width="9.75" style="86" customWidth="1"/>
    <col min="15879" max="15879" width="11.83203125" style="86" customWidth="1"/>
    <col min="15880" max="15880" width="6.25" style="86" customWidth="1"/>
    <col min="15881" max="16127" width="8.6640625" style="86"/>
    <col min="16128" max="16128" width="2" style="86" customWidth="1"/>
    <col min="16129" max="16129" width="18.33203125" style="86" customWidth="1"/>
    <col min="16130" max="16130" width="10.25" style="86" customWidth="1"/>
    <col min="16131" max="16131" width="10.33203125" style="86" customWidth="1"/>
    <col min="16132" max="16132" width="11.08203125" style="86" customWidth="1"/>
    <col min="16133" max="16133" width="12.33203125" style="86" customWidth="1"/>
    <col min="16134" max="16134" width="9.75" style="86" customWidth="1"/>
    <col min="16135" max="16135" width="11.83203125" style="86" customWidth="1"/>
    <col min="16136" max="16136" width="6.25" style="86" customWidth="1"/>
    <col min="16137" max="16384" width="8.6640625" style="86"/>
  </cols>
  <sheetData>
    <row r="2" spans="1:10" x14ac:dyDescent="0.35">
      <c r="B2" s="87" t="s">
        <v>111</v>
      </c>
      <c r="H2" s="88" t="s">
        <v>4</v>
      </c>
      <c r="J2" s="89"/>
    </row>
    <row r="3" spans="1:10" x14ac:dyDescent="0.35">
      <c r="A3" s="90" t="s">
        <v>79</v>
      </c>
    </row>
    <row r="4" spans="1:10" x14ac:dyDescent="0.35">
      <c r="A4" s="86" t="s">
        <v>112</v>
      </c>
      <c r="B4" s="80">
        <v>180000</v>
      </c>
    </row>
    <row r="5" spans="1:10" x14ac:dyDescent="0.35">
      <c r="A5" s="86" t="s">
        <v>113</v>
      </c>
      <c r="B5" s="91">
        <v>0.04</v>
      </c>
    </row>
    <row r="6" spans="1:10" x14ac:dyDescent="0.35">
      <c r="A6" s="86" t="s">
        <v>114</v>
      </c>
      <c r="B6" s="91">
        <v>7.0000000000000007E-2</v>
      </c>
    </row>
    <row r="8" spans="1:10" x14ac:dyDescent="0.35">
      <c r="A8" s="90" t="s">
        <v>115</v>
      </c>
      <c r="B8" s="90" t="s">
        <v>116</v>
      </c>
      <c r="C8" s="90" t="s">
        <v>117</v>
      </c>
      <c r="D8" s="90" t="s">
        <v>118</v>
      </c>
      <c r="E8" s="90"/>
      <c r="F8" s="90"/>
    </row>
    <row r="9" spans="1:10" x14ac:dyDescent="0.35">
      <c r="A9" s="92" t="s">
        <v>119</v>
      </c>
      <c r="B9" s="80">
        <f>+$B$5*$B$4</f>
        <v>7200</v>
      </c>
      <c r="C9" s="93">
        <f>(1+$B$6)^E9</f>
        <v>1.07</v>
      </c>
      <c r="D9" s="94">
        <f>+B9/C9</f>
        <v>6728.9719626168217</v>
      </c>
      <c r="E9" s="94">
        <v>1</v>
      </c>
      <c r="F9" s="90"/>
    </row>
    <row r="10" spans="1:10" x14ac:dyDescent="0.35">
      <c r="A10" s="92" t="s">
        <v>120</v>
      </c>
      <c r="B10" s="80">
        <f>+$B$5*$B$4</f>
        <v>7200</v>
      </c>
      <c r="C10" s="93">
        <f>(1+$B$6)^E10</f>
        <v>1.1449</v>
      </c>
      <c r="D10" s="94">
        <f>+B10/C10</f>
        <v>6288.7588435671232</v>
      </c>
      <c r="E10" s="94">
        <v>2</v>
      </c>
      <c r="F10" s="94"/>
    </row>
    <row r="11" spans="1:10" x14ac:dyDescent="0.35">
      <c r="A11" s="92" t="s">
        <v>136</v>
      </c>
      <c r="B11" s="80">
        <f>B10</f>
        <v>7200</v>
      </c>
      <c r="C11" s="93">
        <f>(1+$B$6)^E11</f>
        <v>1.2250430000000001</v>
      </c>
      <c r="D11" s="94">
        <f>+B11/C11</f>
        <v>5877.344713614134</v>
      </c>
      <c r="E11" s="94">
        <v>3</v>
      </c>
      <c r="F11" s="94"/>
    </row>
    <row r="12" spans="1:10" ht="18.5" x14ac:dyDescent="0.65">
      <c r="A12" s="92" t="s">
        <v>137</v>
      </c>
      <c r="B12" s="80">
        <f>B11+B4</f>
        <v>187200</v>
      </c>
      <c r="C12" s="93">
        <f>(1+$B$6)^E12</f>
        <v>1.31079601</v>
      </c>
      <c r="D12" s="95">
        <f>+B12/C12</f>
        <v>142813.98369529672</v>
      </c>
      <c r="E12" s="94">
        <v>4</v>
      </c>
      <c r="F12" s="94"/>
      <c r="H12" s="88">
        <v>3</v>
      </c>
    </row>
    <row r="13" spans="1:10" x14ac:dyDescent="0.35">
      <c r="A13" s="92"/>
      <c r="D13" s="96">
        <f>SUM(D9:D12)</f>
        <v>161709.05921509481</v>
      </c>
      <c r="E13" s="94" t="s">
        <v>121</v>
      </c>
      <c r="F13" s="94"/>
    </row>
    <row r="14" spans="1:10" x14ac:dyDescent="0.35">
      <c r="A14" s="92"/>
      <c r="D14" s="96"/>
      <c r="E14" s="94"/>
      <c r="F14" s="94"/>
    </row>
    <row r="15" spans="1:10" x14ac:dyDescent="0.35">
      <c r="A15" s="97" t="s">
        <v>122</v>
      </c>
      <c r="D15" s="96"/>
      <c r="E15" s="94"/>
      <c r="F15" s="94"/>
    </row>
    <row r="16" spans="1:10" x14ac:dyDescent="0.35">
      <c r="A16" s="92"/>
      <c r="D16" s="96"/>
      <c r="E16" s="94"/>
      <c r="F16" s="94"/>
    </row>
    <row r="17" spans="1:8" x14ac:dyDescent="0.35">
      <c r="A17" s="92" t="s">
        <v>74</v>
      </c>
      <c r="B17" s="98">
        <f>D13</f>
        <v>161709.05921509481</v>
      </c>
      <c r="D17" s="96"/>
      <c r="E17" s="94"/>
      <c r="F17" s="94"/>
    </row>
    <row r="18" spans="1:8" x14ac:dyDescent="0.35">
      <c r="A18" s="92" t="s">
        <v>138</v>
      </c>
      <c r="B18" s="98">
        <f>-B17+B19</f>
        <v>18290.940784905193</v>
      </c>
      <c r="D18" s="96"/>
      <c r="E18" s="94"/>
      <c r="F18" s="94"/>
      <c r="H18" s="88">
        <v>2</v>
      </c>
    </row>
    <row r="19" spans="1:8" x14ac:dyDescent="0.35">
      <c r="A19" s="92" t="s">
        <v>123</v>
      </c>
      <c r="B19" s="98">
        <f>B4</f>
        <v>180000</v>
      </c>
      <c r="D19" s="96"/>
      <c r="E19" s="94"/>
      <c r="F19" s="94"/>
    </row>
    <row r="20" spans="1:8" x14ac:dyDescent="0.35">
      <c r="A20" s="92"/>
      <c r="D20" s="96"/>
      <c r="E20" s="94"/>
      <c r="F20" s="94"/>
    </row>
    <row r="21" spans="1:8" hidden="1" x14ac:dyDescent="0.35">
      <c r="B21" s="99" t="s">
        <v>124</v>
      </c>
      <c r="C21" s="99" t="s">
        <v>125</v>
      </c>
    </row>
    <row r="22" spans="1:8" hidden="1" x14ac:dyDescent="0.35">
      <c r="A22" s="86" t="s">
        <v>126</v>
      </c>
      <c r="B22" s="98">
        <f>+D13</f>
        <v>161709.05921509481</v>
      </c>
      <c r="D22" s="86" t="s">
        <v>127</v>
      </c>
    </row>
    <row r="23" spans="1:8" hidden="1" x14ac:dyDescent="0.35">
      <c r="A23" s="86" t="s">
        <v>6</v>
      </c>
      <c r="C23" s="98">
        <f>B22-C24</f>
        <v>-18290.940784905193</v>
      </c>
    </row>
    <row r="24" spans="1:8" hidden="1" x14ac:dyDescent="0.35">
      <c r="A24" s="86" t="s">
        <v>128</v>
      </c>
      <c r="C24" s="86">
        <f>+B4</f>
        <v>180000</v>
      </c>
    </row>
    <row r="25" spans="1:8" x14ac:dyDescent="0.35">
      <c r="A25" s="90" t="s">
        <v>129</v>
      </c>
    </row>
    <row r="26" spans="1:8" x14ac:dyDescent="0.35">
      <c r="B26" s="97" t="s">
        <v>34</v>
      </c>
      <c r="C26" s="97" t="s">
        <v>130</v>
      </c>
      <c r="D26" s="97" t="s">
        <v>131</v>
      </c>
      <c r="E26" s="97" t="s">
        <v>140</v>
      </c>
      <c r="F26" s="97" t="s">
        <v>78</v>
      </c>
      <c r="G26" s="97" t="s">
        <v>132</v>
      </c>
    </row>
    <row r="27" spans="1:8" x14ac:dyDescent="0.35">
      <c r="A27" s="92"/>
      <c r="B27" s="94"/>
      <c r="F27" s="98">
        <v>18291</v>
      </c>
      <c r="G27" s="98">
        <f>+B22</f>
        <v>161709.05921509481</v>
      </c>
    </row>
    <row r="28" spans="1:8" x14ac:dyDescent="0.35">
      <c r="A28" s="92" t="s">
        <v>175</v>
      </c>
      <c r="B28" s="98">
        <f>+G27</f>
        <v>161709.05921509481</v>
      </c>
      <c r="C28" s="104">
        <f>+B28*$B$6</f>
        <v>11319.634145056638</v>
      </c>
      <c r="D28" s="104">
        <f>+B9</f>
        <v>7200</v>
      </c>
      <c r="E28" s="104">
        <f>C28-D28</f>
        <v>4119.6341450566379</v>
      </c>
      <c r="F28" s="94">
        <f>+F27-E28</f>
        <v>14171.365854943362</v>
      </c>
      <c r="G28" s="94">
        <f>B19-F28</f>
        <v>165828.63414505663</v>
      </c>
    </row>
    <row r="29" spans="1:8" x14ac:dyDescent="0.35">
      <c r="A29" s="111" t="s">
        <v>176</v>
      </c>
      <c r="B29" s="98">
        <f>+G28</f>
        <v>165828.63414505663</v>
      </c>
      <c r="C29" s="100">
        <f>+B29*$B$6</f>
        <v>11608.004390153965</v>
      </c>
      <c r="D29" s="100">
        <f>+B10</f>
        <v>7200</v>
      </c>
      <c r="E29" s="100">
        <f t="shared" ref="E29:E33" si="0">C29-D29</f>
        <v>4408.0043901539648</v>
      </c>
      <c r="F29" s="94">
        <f>+F28-E29</f>
        <v>9763.3614647893974</v>
      </c>
      <c r="G29" s="94">
        <f>B19-F29</f>
        <v>170236.6385352106</v>
      </c>
      <c r="H29" s="88">
        <v>3</v>
      </c>
    </row>
    <row r="30" spans="1:8" hidden="1" x14ac:dyDescent="0.35">
      <c r="A30" s="111" t="s">
        <v>177</v>
      </c>
      <c r="B30" s="98">
        <f t="shared" ref="B30:B31" si="1">+G29</f>
        <v>170236.6385352106</v>
      </c>
      <c r="C30" s="94">
        <f t="shared" ref="C30:C32" si="2">+B30*$B$6</f>
        <v>11916.564697464742</v>
      </c>
      <c r="D30" s="94">
        <f>+B11</f>
        <v>7200</v>
      </c>
      <c r="E30" s="104">
        <f t="shared" si="0"/>
        <v>4716.5646974647425</v>
      </c>
      <c r="F30" s="94">
        <f t="shared" ref="F30:F31" si="3">+F29-E30</f>
        <v>5046.7967673246549</v>
      </c>
      <c r="G30" s="94" t="e">
        <f>B21-F30</f>
        <v>#VALUE!</v>
      </c>
    </row>
    <row r="31" spans="1:8" hidden="1" x14ac:dyDescent="0.35">
      <c r="A31" s="111" t="s">
        <v>178</v>
      </c>
      <c r="B31" s="98" t="e">
        <f t="shared" si="1"/>
        <v>#VALUE!</v>
      </c>
      <c r="C31" s="94" t="e">
        <f t="shared" si="2"/>
        <v>#VALUE!</v>
      </c>
      <c r="D31" s="94">
        <f>+B13</f>
        <v>0</v>
      </c>
      <c r="E31" s="104" t="e">
        <f t="shared" si="0"/>
        <v>#VALUE!</v>
      </c>
      <c r="F31" s="94" t="e">
        <f t="shared" si="3"/>
        <v>#VALUE!</v>
      </c>
      <c r="G31" s="94" t="e">
        <f>B22-F31</f>
        <v>#VALUE!</v>
      </c>
    </row>
    <row r="32" spans="1:8" ht="16" customHeight="1" x14ac:dyDescent="0.35">
      <c r="A32" s="111" t="s">
        <v>177</v>
      </c>
      <c r="B32" s="94">
        <f>G29</f>
        <v>170236.6385352106</v>
      </c>
      <c r="C32" s="94">
        <f t="shared" si="2"/>
        <v>11916.564697464742</v>
      </c>
      <c r="D32" s="94">
        <f>D29</f>
        <v>7200</v>
      </c>
      <c r="E32" s="104">
        <f t="shared" si="0"/>
        <v>4716.5646974647425</v>
      </c>
      <c r="F32" s="94">
        <f>+F29-E32</f>
        <v>5046.7967673246549</v>
      </c>
      <c r="G32" s="94">
        <f>B19-F32</f>
        <v>174953.20323267535</v>
      </c>
    </row>
    <row r="33" spans="1:8" x14ac:dyDescent="0.35">
      <c r="A33" s="111" t="s">
        <v>178</v>
      </c>
      <c r="B33" s="98">
        <f>+G32</f>
        <v>174953.20323267535</v>
      </c>
      <c r="C33" s="94">
        <f>+B33*$B$6</f>
        <v>12246.724226287275</v>
      </c>
      <c r="D33" s="94">
        <f>D30</f>
        <v>7200</v>
      </c>
      <c r="E33" s="104">
        <f t="shared" si="0"/>
        <v>5046.7242262872751</v>
      </c>
      <c r="F33" s="94">
        <f>+F30-E33</f>
        <v>7.2541037379778572E-2</v>
      </c>
      <c r="G33" s="94">
        <f>B19-F33</f>
        <v>179999.92745896263</v>
      </c>
    </row>
    <row r="34" spans="1:8" x14ac:dyDescent="0.35">
      <c r="A34" s="111"/>
      <c r="B34" s="98"/>
      <c r="C34" s="94"/>
      <c r="D34" s="94"/>
      <c r="E34" s="104"/>
      <c r="F34" s="94"/>
      <c r="G34" s="94"/>
    </row>
    <row r="35" spans="1:8" x14ac:dyDescent="0.35">
      <c r="A35" s="87" t="s">
        <v>179</v>
      </c>
      <c r="B35" s="94"/>
      <c r="C35" s="94"/>
      <c r="D35" s="94"/>
      <c r="E35" s="94"/>
      <c r="F35" s="94"/>
      <c r="G35" s="94"/>
    </row>
    <row r="36" spans="1:8" x14ac:dyDescent="0.35">
      <c r="A36" s="92" t="s">
        <v>133</v>
      </c>
      <c r="B36" s="94" t="s">
        <v>80</v>
      </c>
      <c r="C36" s="94">
        <f>D28</f>
        <v>7200</v>
      </c>
      <c r="D36" s="94"/>
      <c r="E36" s="94"/>
      <c r="F36" s="94"/>
      <c r="G36" s="94"/>
    </row>
    <row r="37" spans="1:8" x14ac:dyDescent="0.35">
      <c r="A37" s="92"/>
      <c r="B37" s="94" t="s">
        <v>134</v>
      </c>
      <c r="C37" s="94">
        <f>D29</f>
        <v>7200</v>
      </c>
      <c r="D37" s="94"/>
      <c r="E37" s="94"/>
      <c r="F37" s="94"/>
      <c r="G37" s="94"/>
      <c r="H37" s="88">
        <v>1.5</v>
      </c>
    </row>
    <row r="38" spans="1:8" x14ac:dyDescent="0.35">
      <c r="A38" s="92"/>
      <c r="B38" s="94"/>
      <c r="C38" s="94"/>
      <c r="D38" s="94"/>
      <c r="E38" s="94"/>
      <c r="F38" s="94"/>
      <c r="G38" s="94"/>
    </row>
    <row r="39" spans="1:8" x14ac:dyDescent="0.35">
      <c r="A39" s="92" t="s">
        <v>139</v>
      </c>
      <c r="B39" s="94" t="s">
        <v>81</v>
      </c>
      <c r="C39" s="94">
        <f>E29</f>
        <v>4408.0043901539648</v>
      </c>
      <c r="D39" s="94"/>
      <c r="E39" s="94"/>
      <c r="F39" s="94"/>
      <c r="G39" s="94"/>
    </row>
    <row r="40" spans="1:8" x14ac:dyDescent="0.35">
      <c r="A40" s="92"/>
      <c r="B40" s="94" t="s">
        <v>82</v>
      </c>
      <c r="C40" s="94">
        <f>C39</f>
        <v>4408.0043901539648</v>
      </c>
      <c r="D40" s="94"/>
      <c r="E40" s="94"/>
      <c r="F40" s="94"/>
      <c r="G40" s="94"/>
      <c r="H40" s="88">
        <v>1.5</v>
      </c>
    </row>
    <row r="41" spans="1:8" x14ac:dyDescent="0.35">
      <c r="A41" s="90" t="s">
        <v>83</v>
      </c>
      <c r="B41" s="94"/>
      <c r="C41" s="94"/>
      <c r="D41" s="94"/>
      <c r="E41" s="94"/>
      <c r="F41" s="94"/>
      <c r="G41" s="94"/>
    </row>
    <row r="42" spans="1:8" x14ac:dyDescent="0.35">
      <c r="B42" s="90" t="s">
        <v>180</v>
      </c>
      <c r="G42" s="101"/>
    </row>
    <row r="43" spans="1:8" x14ac:dyDescent="0.35">
      <c r="A43" s="86" t="s">
        <v>135</v>
      </c>
      <c r="B43" s="98">
        <f>B4</f>
        <v>180000</v>
      </c>
      <c r="G43" s="101"/>
    </row>
    <row r="44" spans="1:8" ht="18.5" x14ac:dyDescent="0.65">
      <c r="A44" s="86" t="s">
        <v>78</v>
      </c>
      <c r="B44" s="102">
        <f>-F29</f>
        <v>-9763.3614647893974</v>
      </c>
      <c r="G44" s="101"/>
      <c r="H44" s="88">
        <v>3</v>
      </c>
    </row>
    <row r="45" spans="1:8" x14ac:dyDescent="0.35">
      <c r="A45" s="101" t="s">
        <v>180</v>
      </c>
      <c r="B45" s="103">
        <f>SUM(B43:B44)</f>
        <v>170236.6385352106</v>
      </c>
    </row>
    <row r="46" spans="1:8" x14ac:dyDescent="0.35">
      <c r="A46" s="101"/>
      <c r="B46" s="103"/>
    </row>
    <row r="47" spans="1:8" x14ac:dyDescent="0.35">
      <c r="A47" s="90" t="s">
        <v>143</v>
      </c>
    </row>
    <row r="48" spans="1:8" x14ac:dyDescent="0.35">
      <c r="A48" s="116" t="s">
        <v>141</v>
      </c>
      <c r="B48" s="116"/>
      <c r="C48" s="96">
        <v>7200</v>
      </c>
      <c r="D48" s="94" t="s">
        <v>142</v>
      </c>
      <c r="E48" s="94"/>
      <c r="F48" s="94"/>
      <c r="G48" s="94"/>
      <c r="H48" s="88">
        <v>3</v>
      </c>
    </row>
    <row r="50" spans="1:10" x14ac:dyDescent="0.35">
      <c r="A50" s="90" t="s">
        <v>144</v>
      </c>
    </row>
    <row r="51" spans="1:10" x14ac:dyDescent="0.35">
      <c r="H51" s="118"/>
    </row>
    <row r="52" spans="1:10" x14ac:dyDescent="0.35">
      <c r="A52" s="117" t="s">
        <v>185</v>
      </c>
      <c r="B52"/>
      <c r="C52"/>
      <c r="D52"/>
      <c r="E52"/>
      <c r="F52"/>
      <c r="G52"/>
      <c r="H52" s="119"/>
      <c r="I52"/>
      <c r="J52"/>
    </row>
    <row r="53" spans="1:10" x14ac:dyDescent="0.35">
      <c r="A53" t="s">
        <v>188</v>
      </c>
      <c r="B53"/>
      <c r="C53"/>
      <c r="D53"/>
      <c r="E53"/>
      <c r="F53"/>
      <c r="G53"/>
      <c r="H53" s="119"/>
      <c r="I53"/>
      <c r="J53"/>
    </row>
    <row r="54" spans="1:10" x14ac:dyDescent="0.35">
      <c r="A54" t="s">
        <v>186</v>
      </c>
      <c r="B54"/>
      <c r="C54"/>
      <c r="D54"/>
      <c r="E54"/>
      <c r="F54"/>
      <c r="G54"/>
      <c r="H54" s="119"/>
      <c r="I54"/>
      <c r="J54"/>
    </row>
    <row r="55" spans="1:10" x14ac:dyDescent="0.35">
      <c r="A55"/>
      <c r="B55"/>
      <c r="C55"/>
      <c r="D55"/>
      <c r="E55"/>
      <c r="F55"/>
      <c r="G55"/>
      <c r="H55" s="119"/>
      <c r="I55"/>
      <c r="J55"/>
    </row>
    <row r="56" spans="1:10" x14ac:dyDescent="0.35">
      <c r="A56" t="s">
        <v>189</v>
      </c>
      <c r="B56"/>
      <c r="C56"/>
      <c r="D56"/>
      <c r="E56"/>
      <c r="F56"/>
      <c r="G56"/>
      <c r="H56" s="119"/>
      <c r="I56"/>
      <c r="J56"/>
    </row>
    <row r="57" spans="1:10" x14ac:dyDescent="0.35">
      <c r="A57" t="s">
        <v>187</v>
      </c>
      <c r="B57"/>
      <c r="C57"/>
      <c r="D57"/>
      <c r="E57"/>
      <c r="F57"/>
      <c r="G57"/>
      <c r="H57" s="119"/>
      <c r="I57"/>
      <c r="J57"/>
    </row>
    <row r="58" spans="1:10" x14ac:dyDescent="0.35">
      <c r="A58"/>
      <c r="B58"/>
      <c r="C58"/>
      <c r="D58"/>
      <c r="E58"/>
      <c r="F58"/>
      <c r="G58"/>
      <c r="H58" s="119"/>
      <c r="I58"/>
      <c r="J58"/>
    </row>
    <row r="59" spans="1:10" x14ac:dyDescent="0.35">
      <c r="H59" s="88">
        <v>4</v>
      </c>
    </row>
  </sheetData>
  <mergeCells count="1">
    <mergeCell ref="A48:B48"/>
  </mergeCells>
  <pageMargins left="0.7" right="0.7" top="0.75" bottom="0.75" header="0.3" footer="0.3"/>
  <pageSetup paperSize="9" orientation="landscape" horizontalDpi="200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rightToLeft="1" topLeftCell="A25" workbookViewId="0">
      <selection activeCell="A41" sqref="A41"/>
    </sheetView>
  </sheetViews>
  <sheetFormatPr defaultColWidth="9" defaultRowHeight="15.5" x14ac:dyDescent="0.35"/>
  <cols>
    <col min="1" max="1" width="40.58203125" style="6" customWidth="1"/>
    <col min="2" max="2" width="19.83203125" style="6" customWidth="1"/>
    <col min="3" max="3" width="25.83203125" style="6" customWidth="1"/>
    <col min="4" max="4" width="11" style="3" customWidth="1"/>
    <col min="5" max="16384" width="9" style="6"/>
  </cols>
  <sheetData>
    <row r="1" spans="1:5" x14ac:dyDescent="0.35">
      <c r="D1" s="17" t="s">
        <v>4</v>
      </c>
    </row>
    <row r="2" spans="1:5" ht="18" x14ac:dyDescent="0.4">
      <c r="A2" s="15" t="s">
        <v>0</v>
      </c>
      <c r="C2" s="7"/>
      <c r="D2" s="17"/>
    </row>
    <row r="3" spans="1:5" ht="18" x14ac:dyDescent="0.4">
      <c r="A3" s="73"/>
      <c r="C3" s="7"/>
      <c r="D3" s="17"/>
    </row>
    <row r="4" spans="1:5" ht="18.5" x14ac:dyDescent="0.65">
      <c r="A4" s="71" t="s">
        <v>48</v>
      </c>
      <c r="C4" s="7"/>
      <c r="D4" s="17"/>
    </row>
    <row r="5" spans="1:5" ht="18" x14ac:dyDescent="0.4">
      <c r="A5" s="73"/>
      <c r="C5" s="7"/>
      <c r="D5" s="17"/>
    </row>
    <row r="6" spans="1:5" x14ac:dyDescent="0.35">
      <c r="A6" s="76" t="s">
        <v>96</v>
      </c>
      <c r="B6" s="6" t="s">
        <v>97</v>
      </c>
      <c r="C6" s="7"/>
      <c r="D6" s="17"/>
    </row>
    <row r="7" spans="1:5" ht="18.5" x14ac:dyDescent="0.65">
      <c r="B7" s="5"/>
      <c r="C7" s="16"/>
      <c r="D7" s="17"/>
      <c r="E7" s="3"/>
    </row>
    <row r="8" spans="1:5" x14ac:dyDescent="0.35">
      <c r="A8" s="4" t="s">
        <v>84</v>
      </c>
      <c r="B8" s="5"/>
      <c r="C8" s="3"/>
      <c r="D8" s="17"/>
      <c r="E8" s="3"/>
    </row>
    <row r="9" spans="1:5" x14ac:dyDescent="0.35">
      <c r="A9" s="3" t="s">
        <v>1</v>
      </c>
      <c r="B9" s="5">
        <v>170000</v>
      </c>
      <c r="C9" s="5"/>
      <c r="D9" s="78"/>
      <c r="E9" s="3"/>
    </row>
    <row r="10" spans="1:5" ht="18.5" x14ac:dyDescent="0.65">
      <c r="A10" s="3" t="s">
        <v>2</v>
      </c>
      <c r="B10" s="9">
        <f>-180000*0.25</f>
        <v>-45000</v>
      </c>
      <c r="C10" s="5" t="s">
        <v>98</v>
      </c>
      <c r="D10" s="17">
        <v>2</v>
      </c>
      <c r="E10" s="3"/>
    </row>
    <row r="11" spans="1:5" x14ac:dyDescent="0.35">
      <c r="A11" s="3"/>
      <c r="B11" s="5">
        <f>SUM(B9:B10)</f>
        <v>125000</v>
      </c>
      <c r="C11" s="5"/>
      <c r="D11" s="17"/>
      <c r="E11" s="3"/>
    </row>
    <row r="12" spans="1:5" x14ac:dyDescent="0.35">
      <c r="A12" s="4" t="s">
        <v>85</v>
      </c>
      <c r="B12" s="5"/>
      <c r="C12" s="3"/>
      <c r="D12" s="17"/>
      <c r="E12" s="3"/>
    </row>
    <row r="13" spans="1:5" x14ac:dyDescent="0.35">
      <c r="A13" s="3" t="s">
        <v>99</v>
      </c>
      <c r="B13" s="5">
        <f>60000*0.25</f>
        <v>15000</v>
      </c>
      <c r="C13" s="3" t="s">
        <v>101</v>
      </c>
      <c r="D13" s="17"/>
      <c r="E13" s="3"/>
    </row>
    <row r="14" spans="1:5" x14ac:dyDescent="0.35">
      <c r="A14" s="3" t="s">
        <v>100</v>
      </c>
      <c r="B14" s="5">
        <f>70000*0.25</f>
        <v>17500</v>
      </c>
      <c r="C14" s="3" t="s">
        <v>102</v>
      </c>
      <c r="D14" s="17"/>
      <c r="E14" s="3"/>
    </row>
    <row r="15" spans="1:5" ht="18.5" x14ac:dyDescent="0.65">
      <c r="A15" s="3" t="s">
        <v>3</v>
      </c>
      <c r="B15" s="9">
        <f>B16-B13-B14</f>
        <v>92500</v>
      </c>
      <c r="C15" s="12"/>
      <c r="D15" s="17">
        <v>3</v>
      </c>
      <c r="E15" s="3"/>
    </row>
    <row r="16" spans="1:5" x14ac:dyDescent="0.35">
      <c r="A16" s="3"/>
      <c r="B16" s="5">
        <f>B11</f>
        <v>125000</v>
      </c>
      <c r="C16" s="11"/>
      <c r="D16" s="17"/>
      <c r="E16" s="3"/>
    </row>
    <row r="17" spans="1:6" x14ac:dyDescent="0.35">
      <c r="A17" s="3"/>
      <c r="B17" s="5"/>
      <c r="C17" s="11"/>
      <c r="D17" s="17"/>
      <c r="E17" s="3"/>
    </row>
    <row r="18" spans="1:6" ht="18.5" x14ac:dyDescent="0.65">
      <c r="A18" s="71" t="s">
        <v>49</v>
      </c>
      <c r="B18" s="5"/>
      <c r="C18" s="3"/>
      <c r="D18" s="17"/>
      <c r="E18" s="3"/>
    </row>
    <row r="19" spans="1:6" x14ac:dyDescent="0.35">
      <c r="D19" s="17"/>
    </row>
    <row r="20" spans="1:6" x14ac:dyDescent="0.35">
      <c r="A20" s="38" t="s">
        <v>86</v>
      </c>
      <c r="B20" s="25"/>
      <c r="C20" s="25"/>
      <c r="D20" s="17"/>
      <c r="E20" s="25"/>
      <c r="F20" s="25"/>
    </row>
    <row r="21" spans="1:6" x14ac:dyDescent="0.35">
      <c r="A21" s="25" t="s">
        <v>1</v>
      </c>
      <c r="B21" s="1">
        <f>B9</f>
        <v>170000</v>
      </c>
      <c r="C21" s="25"/>
      <c r="D21" s="17"/>
      <c r="E21" s="25"/>
      <c r="F21" s="25"/>
    </row>
    <row r="22" spans="1:6" x14ac:dyDescent="0.35">
      <c r="A22" s="25" t="s">
        <v>87</v>
      </c>
      <c r="B22" s="1">
        <f>100000*0.25*1/2</f>
        <v>12500</v>
      </c>
      <c r="C22" s="25" t="s">
        <v>103</v>
      </c>
      <c r="D22" s="17"/>
      <c r="E22" s="25"/>
    </row>
    <row r="23" spans="1:6" x14ac:dyDescent="0.35">
      <c r="A23" s="25" t="s">
        <v>104</v>
      </c>
      <c r="B23" s="70">
        <f>-15000/3*0.5</f>
        <v>-2500</v>
      </c>
      <c r="C23" s="25" t="s">
        <v>105</v>
      </c>
      <c r="D23" s="17">
        <v>6</v>
      </c>
      <c r="E23" s="25"/>
    </row>
    <row r="24" spans="1:6" x14ac:dyDescent="0.35">
      <c r="A24" s="25"/>
      <c r="B24" s="1">
        <f>SUM(B21:B23)</f>
        <v>180000</v>
      </c>
      <c r="C24" s="25" t="s">
        <v>107</v>
      </c>
      <c r="D24" s="17"/>
      <c r="E24" s="25"/>
      <c r="F24" s="25"/>
    </row>
    <row r="25" spans="1:6" x14ac:dyDescent="0.35">
      <c r="A25" s="25"/>
      <c r="B25" s="1"/>
      <c r="C25" s="25"/>
      <c r="D25" s="17"/>
      <c r="E25" s="25"/>
      <c r="F25" s="25"/>
    </row>
    <row r="26" spans="1:6" x14ac:dyDescent="0.35">
      <c r="A26" s="34" t="s">
        <v>61</v>
      </c>
      <c r="B26" s="25"/>
      <c r="C26" s="25"/>
      <c r="D26" s="17"/>
      <c r="E26" s="25"/>
      <c r="F26" s="25"/>
    </row>
    <row r="27" spans="1:6" x14ac:dyDescent="0.35">
      <c r="A27" s="38" t="s">
        <v>106</v>
      </c>
      <c r="B27" s="68" t="s">
        <v>88</v>
      </c>
      <c r="C27" s="25"/>
      <c r="D27" s="17"/>
      <c r="E27" s="25"/>
      <c r="F27" s="25"/>
    </row>
    <row r="28" spans="1:6" x14ac:dyDescent="0.35">
      <c r="A28" s="25"/>
      <c r="B28" s="25"/>
      <c r="C28" s="25"/>
      <c r="D28" s="17"/>
      <c r="E28" s="25"/>
      <c r="F28" s="25"/>
    </row>
    <row r="29" spans="1:6" x14ac:dyDescent="0.35">
      <c r="A29" s="25" t="s">
        <v>1</v>
      </c>
      <c r="B29" s="1">
        <v>82000</v>
      </c>
      <c r="C29" s="25"/>
      <c r="D29" s="17"/>
      <c r="E29" s="25"/>
      <c r="F29" s="25"/>
    </row>
    <row r="30" spans="1:6" x14ac:dyDescent="0.35">
      <c r="A30" s="25" t="s">
        <v>60</v>
      </c>
      <c r="B30" s="70">
        <f>-B24*10/25</f>
        <v>-72000</v>
      </c>
      <c r="C30" s="25" t="s">
        <v>108</v>
      </c>
      <c r="D30" s="17">
        <v>3</v>
      </c>
      <c r="E30" s="25"/>
      <c r="F30" s="25"/>
    </row>
    <row r="31" spans="1:6" x14ac:dyDescent="0.35">
      <c r="A31" s="25" t="s">
        <v>109</v>
      </c>
      <c r="B31" s="1">
        <f>SUM(B29:B30)</f>
        <v>10000</v>
      </c>
      <c r="C31" s="25"/>
      <c r="D31" s="17"/>
      <c r="E31" s="25"/>
      <c r="F31" s="25"/>
    </row>
    <row r="32" spans="1:6" x14ac:dyDescent="0.35">
      <c r="A32" s="25"/>
      <c r="B32" s="1"/>
      <c r="C32" s="25"/>
      <c r="D32" s="17"/>
      <c r="E32" s="25"/>
      <c r="F32" s="25"/>
    </row>
    <row r="33" spans="1:7" x14ac:dyDescent="0.35">
      <c r="A33" s="25" t="s">
        <v>71</v>
      </c>
      <c r="B33" s="1">
        <f>B29</f>
        <v>82000</v>
      </c>
      <c r="C33" s="25"/>
      <c r="D33" s="17"/>
      <c r="E33" s="25"/>
      <c r="F33" s="25"/>
    </row>
    <row r="34" spans="1:7" x14ac:dyDescent="0.35">
      <c r="A34" s="25" t="s">
        <v>173</v>
      </c>
      <c r="B34" s="1">
        <f>-B30</f>
        <v>72000</v>
      </c>
      <c r="C34" s="25"/>
      <c r="D34" s="17">
        <v>2</v>
      </c>
      <c r="E34" s="25"/>
      <c r="F34" s="25"/>
    </row>
    <row r="35" spans="1:7" x14ac:dyDescent="0.35">
      <c r="A35" s="25" t="s">
        <v>174</v>
      </c>
      <c r="B35" s="1">
        <f>B31</f>
        <v>10000</v>
      </c>
      <c r="C35" s="25"/>
      <c r="D35" s="77"/>
      <c r="E35" s="25"/>
      <c r="F35" s="25"/>
    </row>
    <row r="36" spans="1:7" x14ac:dyDescent="0.35">
      <c r="A36" s="34" t="s">
        <v>62</v>
      </c>
      <c r="B36"/>
      <c r="C36"/>
      <c r="D36" s="77"/>
      <c r="E36"/>
      <c r="F36"/>
      <c r="G36"/>
    </row>
    <row r="37" spans="1:7" x14ac:dyDescent="0.35">
      <c r="A37" s="25" t="s">
        <v>110</v>
      </c>
      <c r="B37" s="85"/>
      <c r="C37" s="85"/>
      <c r="D37" s="77"/>
      <c r="E37"/>
      <c r="F37"/>
      <c r="G37"/>
    </row>
    <row r="38" spans="1:7" x14ac:dyDescent="0.35">
      <c r="A38" s="25" t="s">
        <v>184</v>
      </c>
      <c r="B38" s="85"/>
      <c r="C38" s="85"/>
      <c r="D38" s="77"/>
      <c r="E38"/>
      <c r="F38"/>
      <c r="G38"/>
    </row>
    <row r="39" spans="1:7" ht="18.5" x14ac:dyDescent="0.65">
      <c r="A39" s="34"/>
      <c r="B39"/>
      <c r="C39"/>
      <c r="D39" s="84">
        <v>3</v>
      </c>
      <c r="E39"/>
      <c r="F39"/>
      <c r="G39"/>
    </row>
    <row r="40" spans="1:7" x14ac:dyDescent="0.35">
      <c r="A40" s="34"/>
      <c r="B40"/>
      <c r="C40"/>
      <c r="D40" s="77"/>
      <c r="E40"/>
      <c r="F40"/>
      <c r="G40"/>
    </row>
    <row r="41" spans="1:7" x14ac:dyDescent="0.35">
      <c r="C41" s="10" t="s">
        <v>9</v>
      </c>
      <c r="D41" s="77">
        <f>SUM(D3:D40)</f>
        <v>19</v>
      </c>
    </row>
  </sheetData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</vt:i4>
      </vt:variant>
    </vt:vector>
  </HeadingPairs>
  <TitlesOfParts>
    <vt:vector size="6" baseType="lpstr">
      <vt:lpstr>דוח ת"מ</vt:lpstr>
      <vt:lpstr>ביאורים</vt:lpstr>
      <vt:lpstr>שאלה 2 - הון עצמי</vt:lpstr>
      <vt:lpstr>שאלה 3 - אגח</vt:lpstr>
      <vt:lpstr>שאלה 4 - שווי מאזני</vt:lpstr>
      <vt:lpstr>'שאלה 3 - אגח'!WPrint_Area_W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2016-10-26T12:48:12Z</dcterms:modified>
</cp:coreProperties>
</file>