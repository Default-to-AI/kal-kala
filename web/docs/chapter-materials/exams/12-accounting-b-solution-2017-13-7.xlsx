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20" windowWidth="19130" windowHeight="11760" activeTab="4"/>
  </bookViews>
  <sheets>
    <sheet name="שאלה 1 - דוח ת&quot;מ" sheetId="5" r:id="rId1"/>
    <sheet name="ביאורים" sheetId="6" r:id="rId2"/>
    <sheet name="שאלה 2 - הון עצמי" sheetId="2" r:id="rId3"/>
    <sheet name="שאלה 3 - שווי מאזני" sheetId="3" r:id="rId4"/>
    <sheet name="שאלה 4 - התחייבויות" sheetId="7" r:id="rId5"/>
  </sheets>
  <calcPr calcId="152511"/>
</workbook>
</file>

<file path=xl/calcChain.xml><?xml version="1.0" encoding="utf-8"?>
<calcChain xmlns="http://schemas.openxmlformats.org/spreadsheetml/2006/main">
  <c r="I58" i="2" l="1"/>
  <c r="B26" i="2"/>
  <c r="B25" i="2"/>
  <c r="B20" i="2"/>
  <c r="B21" i="2" s="1"/>
  <c r="B14" i="2"/>
  <c r="B15" i="2" s="1"/>
  <c r="B11" i="2"/>
  <c r="B12" i="2" s="1"/>
  <c r="B5" i="2"/>
  <c r="B4" i="2"/>
  <c r="B8" i="2" s="1"/>
  <c r="B9" i="2" s="1"/>
  <c r="C39" i="2"/>
  <c r="B6" i="2" s="1"/>
  <c r="B6" i="3" l="1"/>
  <c r="B7" i="3" s="1"/>
  <c r="B12" i="3" s="1"/>
  <c r="G47" i="5" l="1"/>
  <c r="B35" i="5"/>
  <c r="C38" i="5"/>
  <c r="B38" i="5" s="1"/>
  <c r="D38" i="5"/>
  <c r="D35" i="5"/>
  <c r="E39" i="7"/>
  <c r="C29" i="7"/>
  <c r="C30" i="7" s="1"/>
  <c r="C17" i="7"/>
  <c r="C23" i="7" s="1"/>
  <c r="C16" i="7"/>
  <c r="C20" i="7" s="1"/>
  <c r="C21" i="7" s="1"/>
  <c r="C24" i="7" l="1"/>
  <c r="C18" i="7"/>
  <c r="B49" i="2"/>
  <c r="F26" i="5" l="1"/>
  <c r="B18" i="3" l="1"/>
  <c r="B23" i="3" s="1"/>
  <c r="B17" i="3"/>
  <c r="B16" i="3"/>
  <c r="B22" i="3" s="1"/>
  <c r="B15" i="3"/>
  <c r="B10" i="3"/>
  <c r="B9" i="3"/>
  <c r="B2" i="3"/>
  <c r="D48" i="2"/>
  <c r="B31" i="2" s="1"/>
  <c r="B32" i="2" s="1"/>
  <c r="F47" i="2"/>
  <c r="C47" i="2" s="1"/>
  <c r="F45" i="2"/>
  <c r="G44" i="2"/>
  <c r="E43" i="2"/>
  <c r="B17" i="2" s="1"/>
  <c r="B18" i="2" s="1"/>
  <c r="G41" i="2"/>
  <c r="G46" i="2"/>
  <c r="B24" i="3" l="1"/>
  <c r="G45" i="2"/>
  <c r="B23" i="2" s="1"/>
  <c r="B24" i="2"/>
  <c r="G47" i="2"/>
  <c r="B28" i="2"/>
  <c r="B29" i="2" s="1"/>
  <c r="D38" i="2"/>
  <c r="G38" i="2" s="1"/>
  <c r="B11" i="3"/>
  <c r="B19" i="3"/>
  <c r="B28" i="3" s="1"/>
  <c r="B27" i="3" s="1"/>
  <c r="D34" i="6"/>
  <c r="D35" i="6"/>
  <c r="D36" i="6"/>
  <c r="F16" i="5"/>
  <c r="F17" i="5" s="1"/>
  <c r="F25" i="5"/>
  <c r="D27" i="6"/>
  <c r="D28" i="6" s="1"/>
  <c r="B18" i="5" s="1"/>
  <c r="F11" i="6"/>
  <c r="F10" i="6" s="1"/>
  <c r="B5" i="6"/>
  <c r="F8" i="5" s="1"/>
  <c r="G40" i="6" l="1"/>
  <c r="B7" i="5" l="1"/>
  <c r="B17" i="6"/>
  <c r="F24" i="5" s="1"/>
  <c r="B22" i="6"/>
  <c r="D12" i="6"/>
  <c r="E49" i="2"/>
  <c r="G43" i="2"/>
  <c r="G48" i="2"/>
  <c r="C42" i="2" l="1"/>
  <c r="G42" i="2" s="1"/>
  <c r="B34" i="6" l="1"/>
  <c r="B19" i="5" s="1"/>
  <c r="B17" i="5"/>
  <c r="B35" i="6"/>
  <c r="F10" i="5"/>
  <c r="B12" i="6"/>
  <c r="B12" i="5" s="1"/>
  <c r="B13" i="5" s="1"/>
  <c r="F9" i="5"/>
  <c r="F11" i="5" l="1"/>
  <c r="F21" i="5" s="1"/>
  <c r="B20" i="5"/>
  <c r="B25" i="5"/>
  <c r="B8" i="5" l="1"/>
  <c r="B9" i="5" s="1"/>
  <c r="F49" i="2"/>
  <c r="C40" i="2"/>
  <c r="G40" i="2" s="1"/>
  <c r="C49" i="2" l="1"/>
  <c r="G49" i="2" s="1"/>
  <c r="D31" i="3"/>
</calcChain>
</file>

<file path=xl/sharedStrings.xml><?xml version="1.0" encoding="utf-8"?>
<sst xmlns="http://schemas.openxmlformats.org/spreadsheetml/2006/main" count="235" uniqueCount="188">
  <si>
    <t>תמורה</t>
  </si>
  <si>
    <t>שווי מאזני נרכש</t>
  </si>
  <si>
    <t>מוניטין (P.N)</t>
  </si>
  <si>
    <t>נדרש 1</t>
  </si>
  <si>
    <t>נדרש 2</t>
  </si>
  <si>
    <t>ניקוד</t>
  </si>
  <si>
    <t>פרטים</t>
  </si>
  <si>
    <t>פרמיה</t>
  </si>
  <si>
    <t>עודפים</t>
  </si>
  <si>
    <t>קרן שמורה</t>
  </si>
  <si>
    <t>תקבולים ע"ח אופציות</t>
  </si>
  <si>
    <t>סה"כ</t>
  </si>
  <si>
    <t>העברה לקרן שמורה</t>
  </si>
  <si>
    <t>הנפקת אופציות</t>
  </si>
  <si>
    <t>מימוש אופציות</t>
  </si>
  <si>
    <t xml:space="preserve">דיבידנד שהוכרז </t>
  </si>
  <si>
    <t>הון מניות רגילות</t>
  </si>
  <si>
    <t>-</t>
  </si>
  <si>
    <t xml:space="preserve">הנפקת מניות הטבה </t>
  </si>
  <si>
    <t xml:space="preserve">ניקוד </t>
  </si>
  <si>
    <t>שאלה 2 - הון עצמי</t>
  </si>
  <si>
    <t>שינוי במזומנים השנה</t>
  </si>
  <si>
    <t>י.פ מזומנים ושווי מזומנים</t>
  </si>
  <si>
    <t>י.ס מזומנים ושווי מזומנים</t>
  </si>
  <si>
    <t>נספח ב' - פעולות שלא במזומן</t>
  </si>
  <si>
    <t>מזומנים שנבעו מפעילות מימון</t>
  </si>
  <si>
    <t>הנפקת הון מניות במזומן</t>
  </si>
  <si>
    <t>סה"כ התאמות לרווח</t>
  </si>
  <si>
    <t>ת"מ מפעילות מימון</t>
  </si>
  <si>
    <t>מזומנים ששימשו לפעילות השקעה</t>
  </si>
  <si>
    <t>שינויים בסעיפי רכוש והתחייבות שוטפים</t>
  </si>
  <si>
    <t>ת"מ מפעילות השקעה</t>
  </si>
  <si>
    <t>מזומנים שנבעו מפעילות שוטפת</t>
  </si>
  <si>
    <t>התאמות לרווח ( נספח א' )</t>
  </si>
  <si>
    <t>הכנסות והוצאות שלא כרוכות בת"מ</t>
  </si>
  <si>
    <t>ת"מ מפעילות שוטפת</t>
  </si>
  <si>
    <t xml:space="preserve">ביאורים </t>
  </si>
  <si>
    <t>י.פ</t>
  </si>
  <si>
    <t>י.ס</t>
  </si>
  <si>
    <t>מכירה</t>
  </si>
  <si>
    <t>עלות מופחתת</t>
  </si>
  <si>
    <t>הון מניות</t>
  </si>
  <si>
    <t>פרמיה על מניות</t>
  </si>
  <si>
    <t xml:space="preserve">הנפקת מניות במזומן </t>
  </si>
  <si>
    <t>דיבידנד לשלם</t>
  </si>
  <si>
    <t>שולם בגין שנה קודמת</t>
  </si>
  <si>
    <t>הוכרז השנה וטרם שולם</t>
  </si>
  <si>
    <t xml:space="preserve">קבלת הלוואה לז"א </t>
  </si>
  <si>
    <t>לקיחת הלוואה חדשה</t>
  </si>
  <si>
    <t xml:space="preserve">דיבידנד ששולם במזומן </t>
  </si>
  <si>
    <t>נדרש א</t>
  </si>
  <si>
    <t>נדרש ב</t>
  </si>
  <si>
    <t>הנפקת מניות</t>
  </si>
  <si>
    <t>הפסד השנה</t>
  </si>
  <si>
    <t>הפסד הון</t>
  </si>
  <si>
    <t>הנפקת מניות הטבה</t>
  </si>
  <si>
    <t>הוכרז ושולם</t>
  </si>
  <si>
    <t>הפסד השנה (P.N)</t>
  </si>
  <si>
    <t>קרקע</t>
  </si>
  <si>
    <t>מכונה</t>
  </si>
  <si>
    <t>אחוז רכישה</t>
  </si>
  <si>
    <t>פחת הפרש מקורי - מכונה</t>
  </si>
  <si>
    <t>קיטון בחשבון השקעה</t>
  </si>
  <si>
    <t>נדרש ג</t>
  </si>
  <si>
    <t>נדרש ד</t>
  </si>
  <si>
    <t>החשב טועה</t>
  </si>
  <si>
    <t>דו"ח תזרים מזומנים לשנה שנסתיימה ב- 31.12.17 חברת "החיים הטובים" בע"מ</t>
  </si>
  <si>
    <t>השקעה במוחזקת</t>
  </si>
  <si>
    <t xml:space="preserve">חלקי ברווח </t>
  </si>
  <si>
    <t>88,000 *30%=</t>
  </si>
  <si>
    <t>רווחי אקוויטי</t>
  </si>
  <si>
    <t>רהוט - עלות</t>
  </si>
  <si>
    <t>רהוט - פחת שנצבר</t>
  </si>
  <si>
    <t>חייבים</t>
  </si>
  <si>
    <t xml:space="preserve">מכירת רהוט באשראי </t>
  </si>
  <si>
    <t>תמורה באשראי</t>
  </si>
  <si>
    <t>רכישה (P.N)</t>
  </si>
  <si>
    <t>הוצאות פחת ( P.N)</t>
  </si>
  <si>
    <t xml:space="preserve">רכישת רהוט במזומן </t>
  </si>
  <si>
    <t>הוצאות פחת רהוט</t>
  </si>
  <si>
    <t>הפסד הון ממכירת רהוט</t>
  </si>
  <si>
    <t>מכירת רהוט באשראי חייבים</t>
  </si>
  <si>
    <t>הלוואה לז"א</t>
  </si>
  <si>
    <t>גידול בלקוחות</t>
  </si>
  <si>
    <t>גידול בזכאים</t>
  </si>
  <si>
    <t>הוכרז ולא שולם</t>
  </si>
  <si>
    <t>שנת 2017</t>
  </si>
  <si>
    <t>1.1.2016</t>
  </si>
  <si>
    <t>31.12.2016</t>
  </si>
  <si>
    <t>הוצאות הנפקה</t>
  </si>
  <si>
    <t>רווח השנה</t>
  </si>
  <si>
    <t>פקיעת אופציות</t>
  </si>
  <si>
    <t xml:space="preserve">סה"כ </t>
  </si>
  <si>
    <t>רכישת מניות של חברה אחרת אינה מהווה חלק מפעילות מימון בדוח ת"מ.</t>
  </si>
  <si>
    <t xml:space="preserve">כאשר חברה רוכשת מניות של חברה אחרת , נוצר בדוחותיה נכס שנקרא השקעה ולא גידול בהון העצמי.  </t>
  </si>
  <si>
    <t>רכישת מניות אינה מגדילה את הון החברה , אלא את הנכסים לכן ארוע זה יזקף בדוח תזרים מזומנים לשנת 2016 כתזרים שלילי בפעילות השקעה .</t>
  </si>
  <si>
    <t>4,800 /12,000 =</t>
  </si>
  <si>
    <t>70,000 *40% =</t>
  </si>
  <si>
    <t>55,000 *40% =</t>
  </si>
  <si>
    <t xml:space="preserve">חישוב הפרש מקורי ל - 1.4.16 </t>
  </si>
  <si>
    <t xml:space="preserve">ייחוס הפרש מקורי ל  - 1.4.16   </t>
  </si>
  <si>
    <t>חלקי ברווח</t>
  </si>
  <si>
    <t>תנועה בחשבון השקעה ל- 31.12.2016 (רק 9 חודשים)</t>
  </si>
  <si>
    <t>חלקי בדיבידנד</t>
  </si>
  <si>
    <t>240,000*9/12* 40%=</t>
  </si>
  <si>
    <t>62,000* 40%=</t>
  </si>
  <si>
    <t>28,000 *0.75/4 =</t>
  </si>
  <si>
    <t xml:space="preserve">נותרו 4 שנים מתוך 9 </t>
  </si>
  <si>
    <t>1.1.2017</t>
  </si>
  <si>
    <t xml:space="preserve">מכירת 15% מהמניות </t>
  </si>
  <si>
    <t>325,950 *15%/40% =</t>
  </si>
  <si>
    <t>P.N</t>
  </si>
  <si>
    <t>רווחי אקוויטי לשנת 2016</t>
  </si>
  <si>
    <t>פחת הפרש מקורי</t>
  </si>
  <si>
    <t xml:space="preserve"> ניקוד בגין הצגת הדוח </t>
  </si>
  <si>
    <t>שאלה 1 - דוח תזרים מזומנים וניתוח פיננסי</t>
  </si>
  <si>
    <t>קיטון בהוצאות לשלם</t>
  </si>
  <si>
    <t>יחסי איתנות</t>
  </si>
  <si>
    <t>שאלה מס 4 - התחייבויות</t>
  </si>
  <si>
    <t>הוצאות ריבית</t>
  </si>
  <si>
    <t>הוצאות מימון</t>
  </si>
  <si>
    <t>ח. הוצאות ריבית</t>
  </si>
  <si>
    <t>נדרש ג'</t>
  </si>
  <si>
    <t>ערך נקוב</t>
  </si>
  <si>
    <t>נדרש ד'</t>
  </si>
  <si>
    <t>נדרש א' -  פקודת יומן ל - 1.1.17</t>
  </si>
  <si>
    <t>שיחזור יתרת הפרמיה ליום ההנפקה :</t>
  </si>
  <si>
    <t>X*5\8=20,000</t>
  </si>
  <si>
    <t>X= 32,000</t>
  </si>
  <si>
    <t xml:space="preserve">ח. מזומן 382,000 </t>
  </si>
  <si>
    <t>ז. אג"ח 350,000</t>
  </si>
  <si>
    <t>ז.פרמיה  32,000</t>
  </si>
  <si>
    <t>סה"כ תמורה מהנפקה : 382,000</t>
  </si>
  <si>
    <t xml:space="preserve">350,000+32,000 = </t>
  </si>
  <si>
    <t>פקודת יומן ליום ההנפקה:</t>
  </si>
  <si>
    <t>350,000*7%=</t>
  </si>
  <si>
    <t xml:space="preserve">הכנסות פחת פרמיה </t>
  </si>
  <si>
    <t>נדרש ב' - הוצאות המימון , נטו לשנת 2017 :</t>
  </si>
  <si>
    <t>32,000/8 =</t>
  </si>
  <si>
    <t>ז.הוצאות לשלם</t>
  </si>
  <si>
    <t>ז.הכנסות פחת פרמיה</t>
  </si>
  <si>
    <t>יתרת אג"ח נטו במאזן</t>
  </si>
  <si>
    <t>יתרת פרמיה</t>
  </si>
  <si>
    <t>32,000/8*3=</t>
  </si>
  <si>
    <t>מנכ"ל החברה צודק</t>
  </si>
  <si>
    <t>כלכלן החברה טועה</t>
  </si>
  <si>
    <t>שנת 2016</t>
  </si>
  <si>
    <t>יחס ההון העצמי לסך הנכסים</t>
  </si>
  <si>
    <t>יחס ההתחייבויות לסך הנכסים</t>
  </si>
  <si>
    <t>שאלה 3 - שווי מאזני</t>
  </si>
  <si>
    <t xml:space="preserve"> נדרש א</t>
  </si>
  <si>
    <t>ככל שהיא " נשענת" על הון זר , משמעות הדבר שהיא מגבירה את רמת הסיכון שלה.</t>
  </si>
  <si>
    <t>יחסי האיתנות בוחנים את היחס בין מימון ע"י הון זר למימןן ע"י הון עצמי. ככל שהחברה נשענת יותר על הון עצמי, משמעות הדבר הוא שהיא איתנה יותר</t>
  </si>
  <si>
    <t>ניתן לראות שהחברה מחלקת את הסיכון שלה כמעט שווה בשווה בין ההון העצמי להון הזר שלה, מכיוון שכל היחסים נעים בערך סביב 50%.</t>
  </si>
  <si>
    <t>ח. פרמיה</t>
  </si>
  <si>
    <t>31.12.21</t>
  </si>
  <si>
    <t>ע"פ עקרון ההקבלה יש להכיר בהוצאות הריבית בשנה שבה התרחשו ללא קשר למועד תשלום הריבית במזומן</t>
  </si>
  <si>
    <t>וזאת מכיוון שמדובר בריבית בגים 2024 שנזקפה כנוצאה בדוח רווח והפסד של שנת 2024.</t>
  </si>
  <si>
    <t>לכן, בשנת 2025 לא יזקפו הוצאות מימון בגין האג"ח , למרות שהריבית משולמת במזומן ב - 1.1.2025</t>
  </si>
  <si>
    <t>460,000 *40% =</t>
  </si>
  <si>
    <t>כאשר בשנת 2016 נוטה החברה להשען על ההון העצמי שלה קצת יותר מאשר על הון זר.</t>
  </si>
  <si>
    <t xml:space="preserve">כמו כן, ניתן לראות מגמה של ירידה באיתנות בשנת 2017 לעומת 2016, מכיוון שבשנת 2017 חל קיטון ביחס ההון העצמי לסך הנכסים מ -52% ל - 47%. </t>
  </si>
  <si>
    <t>מה שמצביע על כך שהחברה בחרה בשנת 2017 להעזר במימון הון זר על פני הון עצמי.</t>
  </si>
  <si>
    <t xml:space="preserve">ז. הון מניות רגילות </t>
  </si>
  <si>
    <t>ח. עו"ש</t>
  </si>
  <si>
    <t xml:space="preserve">ז.עו"ש </t>
  </si>
  <si>
    <t>ז. פרמיה</t>
  </si>
  <si>
    <t xml:space="preserve">ח. עו"ש </t>
  </si>
  <si>
    <t>ז.תקבולים ע"ח אופציות</t>
  </si>
  <si>
    <t>ח. עודפים</t>
  </si>
  <si>
    <t>ז.קרן הון שמורה</t>
  </si>
  <si>
    <t>ח. תקבולים ע"ח אופציות</t>
  </si>
  <si>
    <t>ז. הון מניות</t>
  </si>
  <si>
    <t>ח.עודפים</t>
  </si>
  <si>
    <t>הנפקת מניות כנגד מחסן</t>
  </si>
  <si>
    <t>ח. מחסן/ מבנה</t>
  </si>
  <si>
    <t>ז.פרמיה</t>
  </si>
  <si>
    <t>4000,000*40%=</t>
  </si>
  <si>
    <t>10,000*2=</t>
  </si>
  <si>
    <t>596,000*10%=</t>
  </si>
  <si>
    <t>ז.דיבידנד לשלם</t>
  </si>
  <si>
    <t>פקודות יומן בנוגע להון עצמי לשנת 2016</t>
  </si>
  <si>
    <t>דוח על השינויים בהון העצמי לשנת 2016</t>
  </si>
  <si>
    <t>50,000*2=</t>
  </si>
  <si>
    <t>8,000*1*2=</t>
  </si>
  <si>
    <t>8,000*5=</t>
  </si>
  <si>
    <t>8,000*8=</t>
  </si>
  <si>
    <t>אג"ח, נטו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</si>
</sst>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2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  <charset val="177"/>
    </font>
    <font>
      <u/>
      <sz val="12"/>
      <color theme="1"/>
      <name val="David"/>
      <family val="2"/>
      <charset val="177"/>
    </font>
    <font>
      <b/>
      <u/>
      <sz val="12"/>
      <color theme="1"/>
      <name val="David"/>
      <family val="2"/>
      <charset val="177"/>
    </font>
    <font>
      <u val="singleAccounting"/>
      <sz val="12"/>
      <color theme="1"/>
      <name val="David"/>
      <family val="2"/>
      <charset val="177"/>
    </font>
    <font>
      <b/>
      <u/>
      <sz val="14"/>
      <color theme="1"/>
      <name val="David"/>
      <family val="2"/>
      <charset val="177"/>
    </font>
    <font>
      <b/>
      <u val="singleAccounting"/>
      <sz val="12"/>
      <color theme="1"/>
      <name val="David"/>
      <family val="2"/>
      <charset val="177"/>
    </font>
    <font>
      <b/>
      <sz val="12"/>
      <color theme="1"/>
      <name val="David"/>
      <family val="2"/>
      <charset val="177"/>
    </font>
    <font>
      <sz val="12"/>
      <name val="David"/>
      <family val="2"/>
      <charset val="177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u val="singleAccounting"/>
      <sz val="12"/>
      <color theme="1"/>
      <name val="David"/>
      <family val="2"/>
    </font>
    <font>
      <b/>
      <u val="singleAccounting"/>
      <sz val="12"/>
      <color theme="1"/>
      <name val="David"/>
      <family val="2"/>
    </font>
    <font>
      <b/>
      <u/>
      <sz val="12"/>
      <color theme="1"/>
      <name val="David"/>
      <family val="2"/>
    </font>
    <font>
      <sz val="11"/>
      <color indexed="8"/>
      <name val="Arial"/>
      <family val="2"/>
      <charset val="177"/>
    </font>
    <font>
      <sz val="12"/>
      <color indexed="8"/>
      <name val="David"/>
      <family val="2"/>
    </font>
    <font>
      <b/>
      <sz val="12"/>
      <color indexed="8"/>
      <name val="David"/>
      <family val="2"/>
    </font>
    <font>
      <sz val="10"/>
      <name val="Arial"/>
      <family val="2"/>
    </font>
    <font>
      <b/>
      <u/>
      <sz val="12"/>
      <color indexed="8"/>
      <name val="David"/>
      <family val="2"/>
    </font>
    <font>
      <u/>
      <sz val="12"/>
      <color indexed="8"/>
      <name val="David"/>
      <family val="2"/>
    </font>
    <font>
      <u val="singleAccounting"/>
      <sz val="12"/>
      <color indexed="8"/>
      <name val="David"/>
      <family val="2"/>
    </font>
    <font>
      <u/>
      <sz val="12"/>
      <color theme="1"/>
      <name val="David"/>
      <family val="2"/>
    </font>
    <font>
      <b/>
      <u/>
      <sz val="14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5" fillId="0" borderId="0"/>
    <xf numFmtId="0" fontId="18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164" fontId="2" fillId="0" borderId="0" xfId="1" applyNumberFormat="1" applyFont="1"/>
    <xf numFmtId="164" fontId="2" fillId="0" borderId="0" xfId="1" applyNumberFormat="1" applyFont="1" applyFill="1"/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0" fontId="0" fillId="0" borderId="0" xfId="0" applyBorder="1"/>
    <xf numFmtId="164" fontId="2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center"/>
    </xf>
    <xf numFmtId="164" fontId="4" fillId="2" borderId="2" xfId="1" applyNumberFormat="1" applyFont="1" applyFill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8" fillId="0" borderId="2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right"/>
    </xf>
    <xf numFmtId="164" fontId="8" fillId="0" borderId="2" xfId="1" applyNumberFormat="1" applyFont="1" applyBorder="1" applyAlignment="1">
      <alignment horizontal="right"/>
    </xf>
    <xf numFmtId="164" fontId="8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8" fillId="2" borderId="0" xfId="0" applyFont="1" applyFill="1"/>
    <xf numFmtId="164" fontId="8" fillId="0" borderId="3" xfId="1" applyNumberFormat="1" applyFont="1" applyBorder="1"/>
    <xf numFmtId="0" fontId="8" fillId="0" borderId="3" xfId="0" applyFont="1" applyBorder="1"/>
    <xf numFmtId="164" fontId="7" fillId="0" borderId="0" xfId="1" applyNumberFormat="1" applyFont="1"/>
    <xf numFmtId="0" fontId="8" fillId="0" borderId="0" xfId="0" applyFont="1"/>
    <xf numFmtId="164" fontId="8" fillId="0" borderId="0" xfId="1" applyNumberFormat="1" applyFont="1"/>
    <xf numFmtId="0" fontId="4" fillId="0" borderId="0" xfId="0" applyFont="1"/>
    <xf numFmtId="164" fontId="8" fillId="0" borderId="0" xfId="0" applyNumberFormat="1" applyFont="1"/>
    <xf numFmtId="164" fontId="5" fillId="0" borderId="0" xfId="1" applyNumberFormat="1" applyFont="1"/>
    <xf numFmtId="164" fontId="8" fillId="0" borderId="3" xfId="0" applyNumberFormat="1" applyFont="1" applyBorder="1"/>
    <xf numFmtId="0" fontId="3" fillId="0" borderId="0" xfId="0" applyFont="1"/>
    <xf numFmtId="164" fontId="8" fillId="0" borderId="0" xfId="1" applyNumberFormat="1" applyFont="1" applyBorder="1"/>
    <xf numFmtId="0" fontId="8" fillId="0" borderId="0" xfId="0" applyFont="1" applyBorder="1"/>
    <xf numFmtId="164" fontId="2" fillId="0" borderId="0" xfId="1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4" fontId="2" fillId="0" borderId="0" xfId="1" applyNumberFormat="1" applyFont="1" applyBorder="1"/>
    <xf numFmtId="0" fontId="2" fillId="0" borderId="0" xfId="0" applyFont="1" applyBorder="1"/>
    <xf numFmtId="164" fontId="7" fillId="0" borderId="0" xfId="1" applyNumberFormat="1" applyFont="1" applyBorder="1"/>
    <xf numFmtId="164" fontId="5" fillId="0" borderId="0" xfId="1" applyNumberFormat="1" applyFont="1" applyBorder="1"/>
    <xf numFmtId="164" fontId="5" fillId="0" borderId="0" xfId="1" applyNumberFormat="1" applyFont="1" applyFill="1" applyBorder="1"/>
    <xf numFmtId="164" fontId="8" fillId="0" borderId="0" xfId="1" applyNumberFormat="1" applyFont="1" applyFill="1" applyBorder="1"/>
    <xf numFmtId="0" fontId="0" fillId="0" borderId="4" xfId="0" applyBorder="1"/>
    <xf numFmtId="0" fontId="4" fillId="0" borderId="5" xfId="0" applyFont="1" applyBorder="1"/>
    <xf numFmtId="0" fontId="0" fillId="0" borderId="5" xfId="0" applyBorder="1"/>
    <xf numFmtId="0" fontId="4" fillId="0" borderId="6" xfId="0" applyFont="1" applyBorder="1"/>
    <xf numFmtId="0" fontId="8" fillId="0" borderId="7" xfId="0" applyFont="1" applyBorder="1"/>
    <xf numFmtId="164" fontId="8" fillId="0" borderId="8" xfId="1" applyNumberFormat="1" applyFont="1" applyBorder="1"/>
    <xf numFmtId="0" fontId="2" fillId="0" borderId="7" xfId="0" applyFont="1" applyBorder="1"/>
    <xf numFmtId="0" fontId="0" fillId="0" borderId="1" xfId="0" applyBorder="1"/>
    <xf numFmtId="164" fontId="2" fillId="0" borderId="8" xfId="1" applyNumberFormat="1" applyFont="1" applyBorder="1"/>
    <xf numFmtId="164" fontId="5" fillId="0" borderId="8" xfId="1" applyNumberFormat="1" applyFont="1" applyBorder="1"/>
    <xf numFmtId="0" fontId="0" fillId="0" borderId="7" xfId="0" applyBorder="1"/>
    <xf numFmtId="0" fontId="2" fillId="0" borderId="10" xfId="0" applyFont="1" applyBorder="1"/>
    <xf numFmtId="164" fontId="2" fillId="0" borderId="1" xfId="1" applyNumberFormat="1" applyFont="1" applyBorder="1" applyAlignment="1">
      <alignment horizontal="right"/>
    </xf>
    <xf numFmtId="0" fontId="0" fillId="0" borderId="9" xfId="0" applyBorder="1"/>
    <xf numFmtId="0" fontId="8" fillId="0" borderId="0" xfId="0" applyFont="1" applyFill="1"/>
    <xf numFmtId="164" fontId="8" fillId="0" borderId="0" xfId="1" applyNumberFormat="1" applyFont="1" applyFill="1"/>
    <xf numFmtId="0" fontId="4" fillId="0" borderId="0" xfId="0" applyFont="1" applyAlignment="1">
      <alignment horizontal="center"/>
    </xf>
    <xf numFmtId="164" fontId="8" fillId="2" borderId="0" xfId="1" applyNumberFormat="1" applyFont="1" applyFill="1" applyAlignment="1"/>
    <xf numFmtId="0" fontId="2" fillId="0" borderId="11" xfId="0" applyFont="1" applyBorder="1"/>
    <xf numFmtId="9" fontId="2" fillId="0" borderId="12" xfId="0" applyNumberFormat="1" applyFont="1" applyBorder="1"/>
    <xf numFmtId="0" fontId="2" fillId="0" borderId="13" xfId="0" applyFont="1" applyBorder="1"/>
    <xf numFmtId="9" fontId="2" fillId="0" borderId="0" xfId="0" applyNumberFormat="1" applyFont="1" applyBorder="1"/>
    <xf numFmtId="164" fontId="2" fillId="0" borderId="1" xfId="1" applyNumberFormat="1" applyFont="1" applyBorder="1"/>
    <xf numFmtId="0" fontId="9" fillId="0" borderId="0" xfId="0" applyFont="1" applyAlignment="1">
      <alignment horizontal="right"/>
    </xf>
    <xf numFmtId="164" fontId="10" fillId="0" borderId="0" xfId="1" applyNumberFormat="1" applyFont="1"/>
    <xf numFmtId="164" fontId="11" fillId="0" borderId="0" xfId="1" applyNumberFormat="1" applyFont="1"/>
    <xf numFmtId="164" fontId="12" fillId="0" borderId="0" xfId="1" applyNumberFormat="1" applyFont="1"/>
    <xf numFmtId="164" fontId="13" fillId="0" borderId="0" xfId="1" applyNumberFormat="1" applyFont="1"/>
    <xf numFmtId="164" fontId="11" fillId="2" borderId="0" xfId="1" applyNumberFormat="1" applyFont="1" applyFill="1" applyAlignment="1">
      <alignment horizontal="center"/>
    </xf>
    <xf numFmtId="164" fontId="4" fillId="0" borderId="0" xfId="1" applyNumberFormat="1" applyFont="1"/>
    <xf numFmtId="43" fontId="11" fillId="0" borderId="0" xfId="1" applyNumberFormat="1" applyFont="1"/>
    <xf numFmtId="0" fontId="4" fillId="0" borderId="0" xfId="0" applyFont="1" applyAlignment="1">
      <alignment horizontal="center"/>
    </xf>
    <xf numFmtId="164" fontId="2" fillId="2" borderId="0" xfId="1" applyNumberFormat="1" applyFont="1" applyFill="1"/>
    <xf numFmtId="0" fontId="10" fillId="0" borderId="0" xfId="0" applyFont="1"/>
    <xf numFmtId="164" fontId="5" fillId="0" borderId="0" xfId="1" applyNumberFormat="1" applyFont="1" applyAlignment="1">
      <alignment horizontal="center"/>
    </xf>
    <xf numFmtId="164" fontId="13" fillId="2" borderId="0" xfId="1" applyNumberFormat="1" applyFont="1" applyFill="1"/>
    <xf numFmtId="164" fontId="5" fillId="0" borderId="0" xfId="1" applyNumberFormat="1" applyFont="1" applyAlignment="1">
      <alignment horizontal="right" indent="1"/>
    </xf>
    <xf numFmtId="0" fontId="0" fillId="2" borderId="0" xfId="0" applyFill="1"/>
    <xf numFmtId="0" fontId="14" fillId="2" borderId="0" xfId="0" applyFont="1" applyFill="1" applyAlignment="1">
      <alignment horizontal="center"/>
    </xf>
    <xf numFmtId="0" fontId="11" fillId="2" borderId="0" xfId="0" applyFont="1" applyFill="1"/>
    <xf numFmtId="164" fontId="10" fillId="0" borderId="2" xfId="1" applyNumberFormat="1" applyFont="1" applyBorder="1" applyAlignment="1">
      <alignment horizontal="right"/>
    </xf>
    <xf numFmtId="164" fontId="10" fillId="0" borderId="2" xfId="1" applyNumberFormat="1" applyFont="1" applyBorder="1" applyAlignment="1">
      <alignment horizontal="center"/>
    </xf>
    <xf numFmtId="164" fontId="10" fillId="0" borderId="0" xfId="1" applyNumberFormat="1" applyFont="1" applyFill="1" applyBorder="1" applyAlignment="1">
      <alignment horizontal="center"/>
    </xf>
    <xf numFmtId="164" fontId="11" fillId="2" borderId="0" xfId="1" applyNumberFormat="1" applyFont="1" applyFill="1"/>
    <xf numFmtId="164" fontId="5" fillId="0" borderId="1" xfId="1" applyNumberFormat="1" applyFont="1" applyBorder="1"/>
    <xf numFmtId="164" fontId="3" fillId="0" borderId="0" xfId="0" applyNumberFormat="1" applyFont="1"/>
    <xf numFmtId="164" fontId="11" fillId="0" borderId="0" xfId="0" applyNumberFormat="1" applyFont="1"/>
    <xf numFmtId="0" fontId="11" fillId="0" borderId="0" xfId="0" applyFont="1" applyAlignment="1">
      <alignment horizontal="right"/>
    </xf>
    <xf numFmtId="164" fontId="11" fillId="3" borderId="2" xfId="1" applyNumberFormat="1" applyFont="1" applyFill="1" applyBorder="1" applyAlignment="1">
      <alignment horizontal="center"/>
    </xf>
    <xf numFmtId="164" fontId="11" fillId="3" borderId="2" xfId="1" applyNumberFormat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16" fillId="0" borderId="0" xfId="2" applyFont="1"/>
    <xf numFmtId="0" fontId="17" fillId="2" borderId="0" xfId="2" applyFont="1" applyFill="1" applyAlignment="1">
      <alignment horizontal="center"/>
    </xf>
    <xf numFmtId="0" fontId="19" fillId="0" borderId="0" xfId="2" applyFont="1" applyAlignment="1">
      <alignment horizontal="center"/>
    </xf>
    <xf numFmtId="0" fontId="16" fillId="2" borderId="0" xfId="2" applyFont="1" applyFill="1"/>
    <xf numFmtId="0" fontId="19" fillId="0" borderId="0" xfId="2" applyFont="1" applyFill="1"/>
    <xf numFmtId="0" fontId="16" fillId="0" borderId="0" xfId="2" applyFont="1" applyFill="1"/>
    <xf numFmtId="0" fontId="20" fillId="0" borderId="0" xfId="2" applyFont="1" applyFill="1"/>
    <xf numFmtId="0" fontId="16" fillId="0" borderId="0" xfId="2" applyFont="1" applyAlignment="1">
      <alignment horizontal="justify" readingOrder="2"/>
    </xf>
    <xf numFmtId="0" fontId="20" fillId="0" borderId="0" xfId="2" applyFont="1"/>
    <xf numFmtId="164" fontId="16" fillId="0" borderId="0" xfId="1" applyNumberFormat="1" applyFont="1"/>
    <xf numFmtId="164" fontId="21" fillId="0" borderId="0" xfId="1" applyNumberFormat="1" applyFont="1"/>
    <xf numFmtId="164" fontId="16" fillId="0" borderId="0" xfId="2" applyNumberFormat="1" applyFont="1"/>
    <xf numFmtId="0" fontId="16" fillId="0" borderId="0" xfId="2" applyFont="1" applyBorder="1"/>
    <xf numFmtId="0" fontId="20" fillId="0" borderId="0" xfId="2" applyFont="1" applyAlignment="1">
      <alignment horizontal="center"/>
    </xf>
    <xf numFmtId="164" fontId="16" fillId="0" borderId="0" xfId="2" applyNumberFormat="1" applyFont="1" applyAlignment="1">
      <alignment horizontal="center"/>
    </xf>
    <xf numFmtId="164" fontId="21" fillId="0" borderId="0" xfId="2" applyNumberFormat="1" applyFont="1" applyAlignment="1">
      <alignment horizontal="center"/>
    </xf>
    <xf numFmtId="0" fontId="17" fillId="0" borderId="0" xfId="2" applyFont="1"/>
    <xf numFmtId="0" fontId="16" fillId="0" borderId="0" xfId="2" applyFont="1" applyAlignment="1">
      <alignment horizontal="right"/>
    </xf>
    <xf numFmtId="0" fontId="17" fillId="0" borderId="0" xfId="2" applyFont="1" applyAlignment="1">
      <alignment horizontal="center" readingOrder="2"/>
    </xf>
    <xf numFmtId="0" fontId="19" fillId="0" borderId="0" xfId="2" applyFont="1" applyAlignment="1">
      <alignment horizontal="right" readingOrder="2"/>
    </xf>
    <xf numFmtId="0" fontId="19" fillId="0" borderId="0" xfId="2" applyFont="1"/>
    <xf numFmtId="0" fontId="19" fillId="2" borderId="0" xfId="2" applyFont="1" applyFill="1" applyAlignment="1">
      <alignment horizontal="center"/>
    </xf>
    <xf numFmtId="164" fontId="11" fillId="2" borderId="0" xfId="0" applyNumberFormat="1" applyFont="1" applyFill="1"/>
    <xf numFmtId="0" fontId="14" fillId="2" borderId="0" xfId="0" applyFont="1" applyFill="1"/>
    <xf numFmtId="164" fontId="11" fillId="0" borderId="2" xfId="1" applyNumberFormat="1" applyFont="1" applyBorder="1" applyAlignment="1">
      <alignment horizontal="center"/>
    </xf>
    <xf numFmtId="9" fontId="11" fillId="0" borderId="0" xfId="4" applyFont="1"/>
    <xf numFmtId="0" fontId="0" fillId="0" borderId="10" xfId="0" applyBorder="1"/>
    <xf numFmtId="0" fontId="8" fillId="0" borderId="1" xfId="0" applyFont="1" applyBorder="1"/>
    <xf numFmtId="164" fontId="8" fillId="0" borderId="9" xfId="1" applyNumberFormat="1" applyFont="1" applyBorder="1"/>
    <xf numFmtId="0" fontId="2" fillId="0" borderId="4" xfId="0" applyFont="1" applyBorder="1"/>
    <xf numFmtId="164" fontId="7" fillId="0" borderId="5" xfId="1" applyNumberFormat="1" applyFont="1" applyBorder="1"/>
    <xf numFmtId="164" fontId="7" fillId="0" borderId="6" xfId="1" applyNumberFormat="1" applyFont="1" applyBorder="1"/>
    <xf numFmtId="0" fontId="0" fillId="0" borderId="8" xfId="0" applyBorder="1"/>
    <xf numFmtId="0" fontId="8" fillId="0" borderId="10" xfId="0" applyFont="1" applyFill="1" applyBorder="1"/>
    <xf numFmtId="164" fontId="8" fillId="0" borderId="1" xfId="1" applyNumberFormat="1" applyFont="1" applyFill="1" applyBorder="1"/>
    <xf numFmtId="0" fontId="2" fillId="0" borderId="1" xfId="0" applyFont="1" applyBorder="1"/>
    <xf numFmtId="164" fontId="8" fillId="0" borderId="0" xfId="1" applyNumberFormat="1" applyFont="1" applyBorder="1" applyAlignment="1">
      <alignment horizontal="right"/>
    </xf>
    <xf numFmtId="164" fontId="8" fillId="0" borderId="0" xfId="1" applyNumberFormat="1" applyFont="1" applyBorder="1" applyAlignment="1">
      <alignment horizontal="center"/>
    </xf>
    <xf numFmtId="164" fontId="11" fillId="0" borderId="0" xfId="1" applyNumberFormat="1" applyFont="1" applyBorder="1" applyAlignment="1">
      <alignment horizontal="center"/>
    </xf>
    <xf numFmtId="164" fontId="10" fillId="0" borderId="0" xfId="1" applyNumberFormat="1" applyFont="1" applyAlignment="1">
      <alignment horizontal="right"/>
    </xf>
    <xf numFmtId="164" fontId="2" fillId="0" borderId="0" xfId="1" applyNumberFormat="1" applyFont="1" applyAlignment="1">
      <alignment horizontal="left"/>
    </xf>
    <xf numFmtId="164" fontId="2" fillId="2" borderId="0" xfId="1" applyNumberFormat="1" applyFont="1" applyFill="1" applyAlignment="1"/>
    <xf numFmtId="164" fontId="11" fillId="2" borderId="0" xfId="1" applyNumberFormat="1" applyFont="1" applyFill="1" applyAlignment="1"/>
    <xf numFmtId="164" fontId="11" fillId="3" borderId="2" xfId="1" applyNumberFormat="1" applyFont="1" applyFill="1" applyBorder="1" applyAlignment="1"/>
    <xf numFmtId="164" fontId="2" fillId="0" borderId="0" xfId="1" applyNumberFormat="1" applyFont="1" applyFill="1" applyAlignment="1"/>
    <xf numFmtId="164" fontId="2" fillId="0" borderId="0" xfId="1" applyNumberFormat="1" applyFont="1" applyAlignment="1"/>
    <xf numFmtId="0" fontId="6" fillId="0" borderId="0" xfId="0" applyFont="1"/>
    <xf numFmtId="0" fontId="23" fillId="0" borderId="0" xfId="3" applyFont="1" applyAlignment="1">
      <alignment horizontal="center"/>
    </xf>
    <xf numFmtId="164" fontId="7" fillId="2" borderId="0" xfId="1" applyNumberFormat="1" applyFont="1" applyFill="1" applyAlignment="1"/>
    <xf numFmtId="164" fontId="8" fillId="0" borderId="0" xfId="1" applyNumberFormat="1" applyFont="1" applyFill="1" applyAlignment="1"/>
    <xf numFmtId="0" fontId="4" fillId="0" borderId="0" xfId="0" applyFont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164" fontId="22" fillId="0" borderId="0" xfId="1" applyNumberFormat="1" applyFont="1" applyAlignment="1">
      <alignment horizontal="center"/>
    </xf>
    <xf numFmtId="164" fontId="12" fillId="0" borderId="0" xfId="1" applyNumberFormat="1" applyFont="1" applyAlignment="1">
      <alignment horizontal="center"/>
    </xf>
  </cellXfs>
  <cellStyles count="5">
    <cellStyle name="Comma" xfId="1" builtinId="3"/>
    <cellStyle name="Normal" xfId="0" builtinId="0"/>
    <cellStyle name="Normal 2 2" xfId="3"/>
    <cellStyle name="Normal_פתרון שאלה בהתחייבויות" xfId="2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rightToLeft="1" topLeftCell="A37" workbookViewId="0">
      <selection activeCell="C49" sqref="C49"/>
    </sheetView>
  </sheetViews>
  <sheetFormatPr defaultColWidth="9" defaultRowHeight="15.5" x14ac:dyDescent="0.35"/>
  <cols>
    <col min="1" max="1" width="34.83203125" style="19" customWidth="1"/>
    <col min="2" max="3" width="17.33203125" style="19" customWidth="1"/>
    <col min="4" max="4" width="12.1640625" style="19" customWidth="1"/>
    <col min="5" max="5" width="16.33203125" style="19" customWidth="1"/>
    <col min="6" max="6" width="9.9140625" style="19" bestFit="1" customWidth="1"/>
    <col min="7" max="7" width="6.75" style="19" customWidth="1"/>
    <col min="8" max="8" width="9.58203125" style="19" bestFit="1" customWidth="1"/>
    <col min="9" max="16384" width="9" style="19"/>
  </cols>
  <sheetData>
    <row r="1" spans="1:7" ht="18" x14ac:dyDescent="0.4">
      <c r="A1" s="142" t="s">
        <v>115</v>
      </c>
    </row>
    <row r="2" spans="1:7" x14ac:dyDescent="0.35">
      <c r="A2" s="28" t="s">
        <v>3</v>
      </c>
    </row>
    <row r="3" spans="1:7" x14ac:dyDescent="0.35">
      <c r="A3" s="146" t="s">
        <v>66</v>
      </c>
      <c r="B3" s="146"/>
      <c r="C3" s="146"/>
      <c r="D3" s="146"/>
    </row>
    <row r="4" spans="1:7" x14ac:dyDescent="0.35">
      <c r="A4" s="76"/>
      <c r="B4" s="76"/>
      <c r="C4" s="95"/>
      <c r="D4" s="76"/>
    </row>
    <row r="5" spans="1:7" x14ac:dyDescent="0.35">
      <c r="A5" s="28" t="s">
        <v>35</v>
      </c>
      <c r="D5" s="28" t="s">
        <v>33</v>
      </c>
      <c r="E5" s="28"/>
    </row>
    <row r="6" spans="1:7" x14ac:dyDescent="0.35">
      <c r="D6" s="32" t="s">
        <v>34</v>
      </c>
      <c r="E6" s="32"/>
    </row>
    <row r="7" spans="1:7" x14ac:dyDescent="0.35">
      <c r="A7" s="19" t="s">
        <v>53</v>
      </c>
      <c r="B7" s="1">
        <f>ביאורים!D34</f>
        <v>-48600</v>
      </c>
      <c r="C7" s="1"/>
    </row>
    <row r="8" spans="1:7" ht="18.5" x14ac:dyDescent="0.65">
      <c r="A8" s="19" t="s">
        <v>33</v>
      </c>
      <c r="B8" s="30">
        <f>F21</f>
        <v>-20400</v>
      </c>
      <c r="C8" s="30"/>
      <c r="D8" s="19" t="s">
        <v>70</v>
      </c>
      <c r="F8" s="9">
        <f>ביאורים!B5</f>
        <v>-26400</v>
      </c>
    </row>
    <row r="9" spans="1:7" x14ac:dyDescent="0.35">
      <c r="A9" s="26" t="s">
        <v>32</v>
      </c>
      <c r="B9" s="27">
        <f>SUM(B7:B8)</f>
        <v>-69000</v>
      </c>
      <c r="C9" s="27"/>
      <c r="D9" s="19" t="s">
        <v>80</v>
      </c>
      <c r="F9" s="9">
        <f>-ביאורים!F12</f>
        <v>2000</v>
      </c>
      <c r="G9" s="9"/>
    </row>
    <row r="10" spans="1:7" ht="18.5" x14ac:dyDescent="0.65">
      <c r="D10" s="19" t="s">
        <v>79</v>
      </c>
      <c r="F10" s="10">
        <f>ביאורים!D12</f>
        <v>15000</v>
      </c>
    </row>
    <row r="11" spans="1:7" x14ac:dyDescent="0.35">
      <c r="A11" s="28" t="s">
        <v>31</v>
      </c>
      <c r="B11" s="1"/>
      <c r="C11" s="1"/>
      <c r="F11" s="35">
        <f>SUM(F8:F10)</f>
        <v>-9400</v>
      </c>
    </row>
    <row r="12" spans="1:7" ht="18.5" x14ac:dyDescent="0.65">
      <c r="A12" s="19" t="s">
        <v>78</v>
      </c>
      <c r="B12" s="30">
        <f>-ביאורים!B12</f>
        <v>-27000</v>
      </c>
      <c r="C12" s="30"/>
      <c r="F12" s="20"/>
    </row>
    <row r="13" spans="1:7" ht="17.5" customHeight="1" x14ac:dyDescent="0.35">
      <c r="A13" s="34" t="s">
        <v>29</v>
      </c>
      <c r="B13" s="33">
        <f>SUM(B12)</f>
        <v>-27000</v>
      </c>
      <c r="C13" s="33"/>
      <c r="D13" s="32" t="s">
        <v>30</v>
      </c>
      <c r="E13" s="32"/>
      <c r="F13" s="9"/>
    </row>
    <row r="14" spans="1:7" ht="16.5" customHeight="1" x14ac:dyDescent="0.35">
      <c r="D14" s="19" t="s">
        <v>84</v>
      </c>
      <c r="F14" s="9">
        <v>15000</v>
      </c>
    </row>
    <row r="15" spans="1:7" ht="20" customHeight="1" x14ac:dyDescent="0.65">
      <c r="B15" s="30"/>
      <c r="C15" s="30"/>
      <c r="D15" s="19" t="s">
        <v>83</v>
      </c>
      <c r="F15" s="9">
        <v>-12000</v>
      </c>
    </row>
    <row r="16" spans="1:7" ht="18.5" x14ac:dyDescent="0.65">
      <c r="A16" s="28" t="s">
        <v>28</v>
      </c>
      <c r="B16" s="1"/>
      <c r="C16" s="1"/>
      <c r="D16" s="19" t="s">
        <v>116</v>
      </c>
      <c r="F16" s="10">
        <f>-14000</f>
        <v>-14000</v>
      </c>
    </row>
    <row r="17" spans="1:8" x14ac:dyDescent="0.35">
      <c r="A17" s="19" t="s">
        <v>47</v>
      </c>
      <c r="B17" s="9">
        <f>ביאורים!B22</f>
        <v>20000</v>
      </c>
      <c r="C17" s="9"/>
      <c r="F17" s="9">
        <f>SUM(F14:F16)</f>
        <v>-11000</v>
      </c>
    </row>
    <row r="18" spans="1:8" x14ac:dyDescent="0.35">
      <c r="A18" s="19" t="s">
        <v>26</v>
      </c>
      <c r="B18" s="1">
        <f>ביאורים!B28+ביאורים!D28</f>
        <v>60000</v>
      </c>
      <c r="C18" s="1"/>
      <c r="F18" s="9"/>
    </row>
    <row r="19" spans="1:8" ht="18.5" x14ac:dyDescent="0.65">
      <c r="A19" s="19" t="s">
        <v>49</v>
      </c>
      <c r="B19" s="30">
        <f>ביאורים!B34+ביאורים!D35</f>
        <v>-12000</v>
      </c>
      <c r="C19" s="30"/>
    </row>
    <row r="20" spans="1:8" x14ac:dyDescent="0.35">
      <c r="A20" s="26" t="s">
        <v>25</v>
      </c>
      <c r="B20" s="29">
        <f>SUM(B17:B19)</f>
        <v>68000</v>
      </c>
      <c r="C20" s="29"/>
    </row>
    <row r="21" spans="1:8" ht="16" thickBot="1" x14ac:dyDescent="0.4">
      <c r="D21" s="24" t="s">
        <v>27</v>
      </c>
      <c r="E21" s="24"/>
      <c r="F21" s="31">
        <f>F17+F11</f>
        <v>-20400</v>
      </c>
    </row>
    <row r="23" spans="1:8" x14ac:dyDescent="0.35">
      <c r="A23" s="26" t="s">
        <v>23</v>
      </c>
      <c r="B23" s="27">
        <v>29000</v>
      </c>
      <c r="C23" s="27"/>
      <c r="D23" s="28" t="s">
        <v>24</v>
      </c>
      <c r="E23" s="28"/>
    </row>
    <row r="24" spans="1:8" ht="18.5" x14ac:dyDescent="0.65">
      <c r="A24" s="26" t="s">
        <v>22</v>
      </c>
      <c r="B24" s="25">
        <v>-57000</v>
      </c>
      <c r="C24" s="25"/>
      <c r="D24" s="19" t="s">
        <v>81</v>
      </c>
      <c r="F24" s="1">
        <f>ביאורים!B17</f>
        <v>9000</v>
      </c>
    </row>
    <row r="25" spans="1:8" ht="16" thickBot="1" x14ac:dyDescent="0.4">
      <c r="A25" s="24" t="s">
        <v>21</v>
      </c>
      <c r="B25" s="23">
        <f>B23+B24</f>
        <v>-28000</v>
      </c>
      <c r="C25" s="33"/>
      <c r="D25" s="19" t="s">
        <v>55</v>
      </c>
      <c r="F25" s="1">
        <f>ביאורים!B27</f>
        <v>10000</v>
      </c>
    </row>
    <row r="26" spans="1:8" x14ac:dyDescent="0.35">
      <c r="D26" s="19" t="s">
        <v>44</v>
      </c>
      <c r="F26" s="1">
        <f>ביאורים!B35</f>
        <v>12000</v>
      </c>
    </row>
    <row r="29" spans="1:8" x14ac:dyDescent="0.35">
      <c r="B29" s="1"/>
      <c r="C29" s="1"/>
      <c r="E29" s="22" t="s">
        <v>114</v>
      </c>
      <c r="F29" s="21"/>
      <c r="G29" s="84">
        <v>8</v>
      </c>
    </row>
    <row r="30" spans="1:8" x14ac:dyDescent="0.35">
      <c r="B30" s="1"/>
      <c r="C30" s="1"/>
    </row>
    <row r="31" spans="1:8" ht="18.5" x14ac:dyDescent="0.65">
      <c r="A31" s="74" t="s">
        <v>4</v>
      </c>
      <c r="B31" s="1"/>
      <c r="C31" s="1"/>
      <c r="D31" s="1"/>
      <c r="E31" s="1"/>
      <c r="F31" s="1"/>
      <c r="G31" s="80" t="s">
        <v>5</v>
      </c>
      <c r="H31" s="1"/>
    </row>
    <row r="32" spans="1:8" ht="18.5" x14ac:dyDescent="0.65">
      <c r="A32" s="71" t="s">
        <v>117</v>
      </c>
      <c r="B32" s="1"/>
      <c r="C32" s="72" t="s">
        <v>86</v>
      </c>
      <c r="E32" s="72" t="s">
        <v>146</v>
      </c>
      <c r="F32" s="1"/>
      <c r="G32" s="77"/>
    </row>
    <row r="33" spans="1:7" ht="18.5" x14ac:dyDescent="0.65">
      <c r="A33" s="71"/>
      <c r="B33" s="1"/>
      <c r="C33" s="1"/>
      <c r="E33" s="72"/>
      <c r="F33" s="1"/>
      <c r="G33" s="77"/>
    </row>
    <row r="34" spans="1:7" ht="18.5" x14ac:dyDescent="0.65">
      <c r="A34" s="1"/>
      <c r="B34" s="1"/>
      <c r="C34" s="30">
        <v>194400</v>
      </c>
      <c r="D34" s="1"/>
      <c r="E34" s="81">
        <v>203000</v>
      </c>
      <c r="F34" s="30"/>
      <c r="G34" s="73"/>
    </row>
    <row r="35" spans="1:7" x14ac:dyDescent="0.35">
      <c r="A35" s="1" t="s">
        <v>147</v>
      </c>
      <c r="B35" s="121">
        <f>C34/C35</f>
        <v>0.47138700290979629</v>
      </c>
      <c r="C35" s="1">
        <v>412400</v>
      </c>
      <c r="D35" s="121">
        <f>E34/E35</f>
        <v>0.5178571428571429</v>
      </c>
      <c r="E35" s="1">
        <v>392000</v>
      </c>
      <c r="F35" s="1"/>
      <c r="G35" s="73">
        <v>2</v>
      </c>
    </row>
    <row r="36" spans="1:7" x14ac:dyDescent="0.35">
      <c r="A36" s="1"/>
      <c r="B36" s="1"/>
      <c r="C36" s="1"/>
      <c r="D36" s="75"/>
      <c r="E36" s="1"/>
      <c r="F36" s="1"/>
      <c r="G36" s="73"/>
    </row>
    <row r="37" spans="1:7" ht="18.5" x14ac:dyDescent="0.65">
      <c r="B37" s="1"/>
      <c r="C37" s="30">
        <v>218000</v>
      </c>
      <c r="D37" s="75"/>
      <c r="E37" s="79">
        <v>189000</v>
      </c>
      <c r="F37" s="1"/>
      <c r="G37" s="73"/>
    </row>
    <row r="38" spans="1:7" x14ac:dyDescent="0.35">
      <c r="A38" s="1" t="s">
        <v>148</v>
      </c>
      <c r="B38" s="121">
        <f>C37/C38</f>
        <v>0.52861299709020371</v>
      </c>
      <c r="C38" s="1">
        <f>C35</f>
        <v>412400</v>
      </c>
      <c r="D38" s="121">
        <f>E37/E38</f>
        <v>0.48214285714285715</v>
      </c>
      <c r="E38" s="5">
        <v>392000</v>
      </c>
      <c r="F38" s="1"/>
      <c r="G38" s="73">
        <v>2</v>
      </c>
    </row>
    <row r="39" spans="1:7" x14ac:dyDescent="0.35">
      <c r="A39" s="1"/>
      <c r="B39" s="1"/>
      <c r="C39" s="1"/>
      <c r="D39" s="1"/>
      <c r="E39" s="1"/>
      <c r="F39" s="1"/>
      <c r="G39" s="73"/>
    </row>
    <row r="40" spans="1:7" x14ac:dyDescent="0.35">
      <c r="A40" s="1"/>
      <c r="B40" s="1"/>
      <c r="C40" s="1"/>
      <c r="D40" s="1"/>
      <c r="E40" s="1"/>
      <c r="F40" s="1"/>
      <c r="G40" s="73"/>
    </row>
    <row r="41" spans="1:7" x14ac:dyDescent="0.35">
      <c r="A41" s="1" t="s">
        <v>152</v>
      </c>
      <c r="B41" s="1"/>
      <c r="C41" s="1"/>
      <c r="D41" s="1"/>
      <c r="E41" s="1"/>
      <c r="F41" s="1"/>
      <c r="G41" s="73"/>
    </row>
    <row r="42" spans="1:7" x14ac:dyDescent="0.35">
      <c r="A42" s="19" t="s">
        <v>151</v>
      </c>
      <c r="G42" s="118">
        <v>1</v>
      </c>
    </row>
    <row r="43" spans="1:7" x14ac:dyDescent="0.35">
      <c r="A43" s="19" t="s">
        <v>153</v>
      </c>
      <c r="G43" s="21"/>
    </row>
    <row r="44" spans="1:7" x14ac:dyDescent="0.35">
      <c r="A44" s="19" t="s">
        <v>160</v>
      </c>
      <c r="G44" s="21"/>
    </row>
    <row r="45" spans="1:7" x14ac:dyDescent="0.35">
      <c r="A45" s="19" t="s">
        <v>161</v>
      </c>
      <c r="G45" s="119">
        <v>3</v>
      </c>
    </row>
    <row r="46" spans="1:7" x14ac:dyDescent="0.35">
      <c r="A46" s="19" t="s">
        <v>162</v>
      </c>
      <c r="G46" s="21"/>
    </row>
    <row r="47" spans="1:7" x14ac:dyDescent="0.35">
      <c r="F47" s="84" t="s">
        <v>92</v>
      </c>
      <c r="G47" s="118">
        <f>SUM(G33:G46)</f>
        <v>8</v>
      </c>
    </row>
  </sheetData>
  <mergeCells count="1">
    <mergeCell ref="A3:D3"/>
  </mergeCells>
  <pageMargins left="0.7" right="0.7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rightToLeft="1" workbookViewId="0">
      <selection activeCell="D22" sqref="D22"/>
    </sheetView>
  </sheetViews>
  <sheetFormatPr defaultRowHeight="14" x14ac:dyDescent="0.3"/>
  <cols>
    <col min="1" max="1" width="19.08203125" customWidth="1"/>
    <col min="2" max="2" width="15" customWidth="1"/>
    <col min="3" max="3" width="16.25" customWidth="1"/>
    <col min="4" max="4" width="13.6640625" customWidth="1"/>
    <col min="5" max="5" width="13.75" customWidth="1"/>
    <col min="6" max="6" width="13.33203125" customWidth="1"/>
    <col min="7" max="7" width="10" style="82" customWidth="1"/>
  </cols>
  <sheetData>
    <row r="1" spans="1:10" s="19" customFormat="1" ht="15.5" x14ac:dyDescent="0.35">
      <c r="A1" s="28" t="s">
        <v>36</v>
      </c>
      <c r="G1" s="83" t="s">
        <v>5</v>
      </c>
    </row>
    <row r="2" spans="1:10" s="19" customFormat="1" ht="15.5" x14ac:dyDescent="0.35">
      <c r="G2" s="21"/>
    </row>
    <row r="3" spans="1:10" s="19" customFormat="1" ht="15.5" x14ac:dyDescent="0.35">
      <c r="B3" s="28" t="s">
        <v>67</v>
      </c>
      <c r="G3" s="21"/>
    </row>
    <row r="4" spans="1:10" s="19" customFormat="1" ht="15.5" x14ac:dyDescent="0.35">
      <c r="A4" s="26" t="s">
        <v>37</v>
      </c>
      <c r="B4" s="27">
        <v>145000</v>
      </c>
      <c r="G4" s="21"/>
    </row>
    <row r="5" spans="1:10" s="19" customFormat="1" ht="18.5" x14ac:dyDescent="0.65">
      <c r="A5" s="78" t="s">
        <v>68</v>
      </c>
      <c r="B5" s="71">
        <f>-88000*30%</f>
        <v>-26400</v>
      </c>
      <c r="C5" s="19" t="s">
        <v>69</v>
      </c>
      <c r="G5" s="38">
        <v>3</v>
      </c>
    </row>
    <row r="6" spans="1:10" s="19" customFormat="1" ht="15.5" x14ac:dyDescent="0.35">
      <c r="A6" s="26" t="s">
        <v>38</v>
      </c>
      <c r="B6" s="27">
        <v>171400</v>
      </c>
      <c r="G6" s="21"/>
    </row>
    <row r="7" spans="1:10" s="19" customFormat="1" ht="15.5" x14ac:dyDescent="0.35">
      <c r="A7" s="26"/>
      <c r="B7" s="27"/>
      <c r="G7" s="21"/>
    </row>
    <row r="8" spans="1:10" s="19" customFormat="1" ht="15.5" x14ac:dyDescent="0.35">
      <c r="B8" s="26"/>
      <c r="C8" s="27"/>
      <c r="G8" s="21"/>
    </row>
    <row r="9" spans="1:10" ht="18.5" x14ac:dyDescent="0.65">
      <c r="A9" s="125"/>
      <c r="B9" s="126" t="s">
        <v>71</v>
      </c>
      <c r="C9" s="147" t="s">
        <v>72</v>
      </c>
      <c r="D9" s="147"/>
      <c r="E9" s="47"/>
      <c r="F9" s="127" t="s">
        <v>54</v>
      </c>
      <c r="G9" s="38"/>
      <c r="H9" s="36"/>
      <c r="I9" s="19"/>
      <c r="J9" s="19"/>
    </row>
    <row r="10" spans="1:10" ht="15.5" x14ac:dyDescent="0.35">
      <c r="A10" s="49" t="s">
        <v>37</v>
      </c>
      <c r="B10" s="33">
        <v>92000</v>
      </c>
      <c r="C10" s="34" t="s">
        <v>37</v>
      </c>
      <c r="D10" s="33">
        <v>45000</v>
      </c>
      <c r="E10" s="40" t="s">
        <v>75</v>
      </c>
      <c r="F10" s="53">
        <f>-F11+F12</f>
        <v>9000</v>
      </c>
      <c r="G10" s="38"/>
      <c r="H10" s="1"/>
      <c r="I10" s="19"/>
      <c r="J10" s="19"/>
    </row>
    <row r="11" spans="1:10" ht="18.5" x14ac:dyDescent="0.65">
      <c r="A11" s="51" t="s">
        <v>39</v>
      </c>
      <c r="B11" s="39">
        <v>-15000</v>
      </c>
      <c r="C11" s="40" t="s">
        <v>39</v>
      </c>
      <c r="D11" s="39">
        <v>-4000</v>
      </c>
      <c r="E11" s="40" t="s">
        <v>40</v>
      </c>
      <c r="F11" s="54">
        <f>B11-D11</f>
        <v>-11000</v>
      </c>
      <c r="G11" s="38"/>
      <c r="H11" s="1"/>
      <c r="I11" s="19"/>
      <c r="J11" s="19"/>
    </row>
    <row r="12" spans="1:10" ht="18.5" x14ac:dyDescent="0.65">
      <c r="A12" s="51" t="s">
        <v>76</v>
      </c>
      <c r="B12" s="42">
        <f>B13-B10-B11</f>
        <v>27000</v>
      </c>
      <c r="C12" s="40" t="s">
        <v>77</v>
      </c>
      <c r="D12" s="43">
        <f>D13-D10-D11</f>
        <v>15000</v>
      </c>
      <c r="E12" s="40" t="s">
        <v>54</v>
      </c>
      <c r="F12" s="53">
        <v>-2000</v>
      </c>
      <c r="G12" s="38"/>
      <c r="H12" s="1"/>
      <c r="I12" s="19"/>
      <c r="J12" s="19"/>
    </row>
    <row r="13" spans="1:10" ht="15.5" x14ac:dyDescent="0.35">
      <c r="A13" s="49" t="s">
        <v>38</v>
      </c>
      <c r="B13" s="33">
        <v>104000</v>
      </c>
      <c r="C13" s="34" t="s">
        <v>38</v>
      </c>
      <c r="D13" s="44">
        <v>56000</v>
      </c>
      <c r="E13" s="8"/>
      <c r="F13" s="128"/>
      <c r="G13" s="38">
        <v>4</v>
      </c>
      <c r="H13" s="19"/>
      <c r="I13" s="19"/>
      <c r="J13" s="19"/>
    </row>
    <row r="14" spans="1:10" ht="15.5" x14ac:dyDescent="0.35">
      <c r="A14" s="49"/>
      <c r="B14" s="33"/>
      <c r="C14" s="8"/>
      <c r="D14" s="44"/>
      <c r="E14" s="8"/>
      <c r="F14" s="128"/>
      <c r="G14" s="38"/>
      <c r="H14" s="19"/>
      <c r="I14" s="19"/>
      <c r="J14" s="19"/>
    </row>
    <row r="15" spans="1:10" ht="18.5" x14ac:dyDescent="0.65">
      <c r="A15" s="49"/>
      <c r="B15" s="41" t="s">
        <v>73</v>
      </c>
      <c r="C15" s="40"/>
      <c r="D15" s="39"/>
      <c r="E15" s="8"/>
      <c r="F15" s="128"/>
      <c r="G15" s="38"/>
      <c r="H15" s="19"/>
      <c r="I15" s="19"/>
      <c r="J15" s="19"/>
    </row>
    <row r="16" spans="1:10" ht="15.5" x14ac:dyDescent="0.35">
      <c r="A16" s="49" t="s">
        <v>37</v>
      </c>
      <c r="B16" s="33">
        <v>80000</v>
      </c>
      <c r="C16" s="40"/>
      <c r="D16" s="40"/>
      <c r="E16" s="8"/>
      <c r="F16" s="128"/>
      <c r="G16" s="38"/>
      <c r="H16" s="19"/>
      <c r="I16" s="19"/>
      <c r="J16" s="19"/>
    </row>
    <row r="17" spans="1:10" ht="18.5" x14ac:dyDescent="0.65">
      <c r="A17" s="51" t="s">
        <v>74</v>
      </c>
      <c r="B17" s="42">
        <f>B18-B16</f>
        <v>9000</v>
      </c>
      <c r="C17" s="40"/>
      <c r="D17" s="8"/>
      <c r="E17" s="8"/>
      <c r="F17" s="128"/>
      <c r="G17" s="38">
        <v>1</v>
      </c>
      <c r="H17" s="19"/>
      <c r="I17" s="19"/>
      <c r="J17" s="19"/>
    </row>
    <row r="18" spans="1:10" ht="15.5" x14ac:dyDescent="0.35">
      <c r="A18" s="129" t="s">
        <v>38</v>
      </c>
      <c r="B18" s="130">
        <v>89000</v>
      </c>
      <c r="C18" s="131"/>
      <c r="D18" s="52"/>
      <c r="E18" s="52"/>
      <c r="F18" s="58"/>
      <c r="G18" s="38"/>
      <c r="H18" s="19"/>
      <c r="I18" s="19"/>
      <c r="J18" s="19"/>
    </row>
    <row r="19" spans="1:10" ht="15.5" x14ac:dyDescent="0.35">
      <c r="C19" s="19"/>
      <c r="G19" s="38"/>
      <c r="H19" s="19"/>
      <c r="I19" s="19"/>
      <c r="J19" s="19"/>
    </row>
    <row r="20" spans="1:10" ht="18.5" x14ac:dyDescent="0.65">
      <c r="A20" s="26"/>
      <c r="B20" s="25" t="s">
        <v>82</v>
      </c>
      <c r="C20" s="19"/>
      <c r="D20" s="26"/>
      <c r="E20" s="27"/>
      <c r="G20" s="38"/>
      <c r="H20" s="19"/>
      <c r="I20" s="19"/>
      <c r="J20" s="19"/>
    </row>
    <row r="21" spans="1:10" ht="15.5" x14ac:dyDescent="0.35">
      <c r="A21" s="26" t="s">
        <v>37</v>
      </c>
      <c r="B21" s="27">
        <v>131000</v>
      </c>
      <c r="C21" s="19"/>
      <c r="D21" s="26"/>
      <c r="E21" s="27"/>
      <c r="G21" s="38"/>
      <c r="H21" s="19"/>
      <c r="I21" s="19"/>
      <c r="J21" s="19"/>
    </row>
    <row r="22" spans="1:10" ht="18.5" x14ac:dyDescent="0.65">
      <c r="A22" s="19" t="s">
        <v>48</v>
      </c>
      <c r="B22" s="30">
        <f>B23-B21</f>
        <v>20000</v>
      </c>
      <c r="C22" s="19"/>
      <c r="D22" s="26"/>
      <c r="E22" s="27"/>
      <c r="G22" s="38">
        <v>1</v>
      </c>
      <c r="H22" s="19"/>
      <c r="I22" s="19"/>
      <c r="J22" s="19"/>
    </row>
    <row r="23" spans="1:10" ht="15.5" x14ac:dyDescent="0.35">
      <c r="A23" s="59" t="s">
        <v>38</v>
      </c>
      <c r="B23" s="60">
        <v>151000</v>
      </c>
      <c r="C23" s="19"/>
      <c r="D23" s="26"/>
      <c r="E23" s="27"/>
      <c r="G23" s="38"/>
      <c r="H23" s="19"/>
      <c r="I23" s="19"/>
      <c r="J23" s="19"/>
    </row>
    <row r="24" spans="1:10" ht="15.5" x14ac:dyDescent="0.35">
      <c r="C24" s="19"/>
      <c r="D24" s="26"/>
      <c r="E24" s="27"/>
      <c r="G24" s="38"/>
      <c r="H24" s="19"/>
      <c r="I24" s="19"/>
      <c r="J24" s="19"/>
    </row>
    <row r="25" spans="1:10" ht="15.5" x14ac:dyDescent="0.35">
      <c r="A25" s="45"/>
      <c r="B25" s="46" t="s">
        <v>41</v>
      </c>
      <c r="C25" s="47"/>
      <c r="D25" s="48" t="s">
        <v>42</v>
      </c>
      <c r="G25" s="38"/>
      <c r="H25" s="19"/>
      <c r="I25" s="19"/>
      <c r="J25" s="19"/>
    </row>
    <row r="26" spans="1:10" ht="15.5" x14ac:dyDescent="0.35">
      <c r="A26" s="49" t="s">
        <v>37</v>
      </c>
      <c r="B26" s="33">
        <v>50000</v>
      </c>
      <c r="C26" s="34" t="s">
        <v>37</v>
      </c>
      <c r="D26" s="50">
        <v>10000</v>
      </c>
      <c r="G26" s="38"/>
      <c r="H26" s="19"/>
      <c r="I26" s="19"/>
      <c r="J26" s="19"/>
    </row>
    <row r="27" spans="1:10" ht="15.5" x14ac:dyDescent="0.35">
      <c r="A27" s="51" t="s">
        <v>55</v>
      </c>
      <c r="B27" s="39">
        <v>10000</v>
      </c>
      <c r="C27" s="40" t="s">
        <v>55</v>
      </c>
      <c r="D27" s="53">
        <f>-B27</f>
        <v>-10000</v>
      </c>
      <c r="G27" s="38"/>
      <c r="H27" s="19"/>
      <c r="I27" s="19"/>
      <c r="J27" s="19"/>
    </row>
    <row r="28" spans="1:10" ht="18.5" x14ac:dyDescent="0.65">
      <c r="A28" s="51" t="s">
        <v>43</v>
      </c>
      <c r="B28" s="42">
        <v>20000</v>
      </c>
      <c r="C28" s="40" t="s">
        <v>43</v>
      </c>
      <c r="D28" s="54">
        <f>D29-D27-D26</f>
        <v>40000</v>
      </c>
      <c r="G28" s="38">
        <v>4</v>
      </c>
      <c r="H28" s="19"/>
      <c r="I28" s="19"/>
      <c r="J28" s="19"/>
    </row>
    <row r="29" spans="1:10" ht="15.5" x14ac:dyDescent="0.35">
      <c r="A29" s="49" t="s">
        <v>38</v>
      </c>
      <c r="B29" s="33">
        <v>80000</v>
      </c>
      <c r="C29" s="34" t="s">
        <v>38</v>
      </c>
      <c r="D29" s="50">
        <v>40000</v>
      </c>
      <c r="G29" s="38"/>
      <c r="H29" s="19"/>
      <c r="I29" s="19"/>
      <c r="J29" s="19"/>
    </row>
    <row r="30" spans="1:10" ht="15.5" x14ac:dyDescent="0.35">
      <c r="A30" s="122"/>
      <c r="B30" s="52"/>
      <c r="C30" s="123"/>
      <c r="D30" s="124"/>
      <c r="G30" s="38"/>
      <c r="H30" s="19"/>
      <c r="I30" s="19"/>
      <c r="J30" s="19"/>
    </row>
    <row r="31" spans="1:10" ht="15.5" x14ac:dyDescent="0.35">
      <c r="A31" s="8"/>
      <c r="B31" s="8"/>
      <c r="C31" s="34"/>
      <c r="D31" s="33"/>
      <c r="G31" s="38"/>
      <c r="H31" s="19"/>
      <c r="I31" s="19"/>
      <c r="J31" s="19"/>
    </row>
    <row r="32" spans="1:10" ht="15.5" x14ac:dyDescent="0.35">
      <c r="A32" s="45"/>
      <c r="B32" s="46" t="s">
        <v>44</v>
      </c>
      <c r="C32" s="47"/>
      <c r="D32" s="48" t="s">
        <v>8</v>
      </c>
      <c r="G32" s="38"/>
      <c r="H32" s="19"/>
      <c r="I32" s="19"/>
      <c r="J32" s="19"/>
    </row>
    <row r="33" spans="1:10" ht="15.5" x14ac:dyDescent="0.35">
      <c r="A33" s="49" t="s">
        <v>37</v>
      </c>
      <c r="B33" s="33">
        <v>4000</v>
      </c>
      <c r="C33" s="34" t="s">
        <v>37</v>
      </c>
      <c r="D33" s="50">
        <v>143000</v>
      </c>
      <c r="G33" s="38"/>
      <c r="H33" s="19"/>
      <c r="I33" s="19"/>
      <c r="J33" s="19"/>
    </row>
    <row r="34" spans="1:10" ht="15.5" x14ac:dyDescent="0.35">
      <c r="A34" s="51" t="s">
        <v>45</v>
      </c>
      <c r="B34" s="39">
        <f>-B33</f>
        <v>-4000</v>
      </c>
      <c r="C34" s="40" t="s">
        <v>57</v>
      </c>
      <c r="D34" s="53">
        <f>D37-D36-D35-D33</f>
        <v>-48600</v>
      </c>
      <c r="G34" s="38"/>
      <c r="H34" s="19"/>
      <c r="I34" s="19"/>
      <c r="J34" s="19"/>
    </row>
    <row r="35" spans="1:10" ht="18.5" x14ac:dyDescent="0.65">
      <c r="A35" s="51" t="s">
        <v>46</v>
      </c>
      <c r="B35" s="42">
        <f>B36</f>
        <v>12000</v>
      </c>
      <c r="C35" s="40" t="s">
        <v>56</v>
      </c>
      <c r="D35" s="53">
        <f>-8000</f>
        <v>-8000</v>
      </c>
      <c r="G35" s="37">
        <v>4</v>
      </c>
      <c r="H35" s="19"/>
      <c r="I35" s="19"/>
      <c r="J35" s="19"/>
    </row>
    <row r="36" spans="1:10" ht="18.5" x14ac:dyDescent="0.65">
      <c r="A36" s="49" t="s">
        <v>38</v>
      </c>
      <c r="B36" s="44">
        <v>12000</v>
      </c>
      <c r="C36" s="40" t="s">
        <v>85</v>
      </c>
      <c r="D36" s="54">
        <f>-B35</f>
        <v>-12000</v>
      </c>
      <c r="G36" s="38"/>
      <c r="H36" s="19"/>
      <c r="I36" s="19"/>
      <c r="J36" s="19"/>
    </row>
    <row r="37" spans="1:10" ht="15.5" x14ac:dyDescent="0.35">
      <c r="A37" s="55"/>
      <c r="B37" s="44"/>
      <c r="C37" s="34" t="s">
        <v>38</v>
      </c>
      <c r="D37" s="50">
        <v>74400</v>
      </c>
      <c r="G37" s="37"/>
      <c r="H37" s="19"/>
      <c r="I37" s="19"/>
      <c r="J37" s="19"/>
    </row>
    <row r="38" spans="1:10" ht="15.5" x14ac:dyDescent="0.35">
      <c r="A38" s="56"/>
      <c r="B38" s="57"/>
      <c r="C38" s="52"/>
      <c r="D38" s="58"/>
      <c r="G38" s="38"/>
      <c r="H38" s="19"/>
      <c r="I38" s="19"/>
      <c r="J38" s="19"/>
    </row>
    <row r="39" spans="1:10" ht="15.5" x14ac:dyDescent="0.35">
      <c r="A39" s="19"/>
      <c r="B39" s="1"/>
      <c r="C39" s="19"/>
      <c r="D39" s="1"/>
      <c r="E39" s="19"/>
      <c r="F39" s="19"/>
      <c r="G39" s="21"/>
      <c r="H39" s="19"/>
      <c r="I39" s="19"/>
      <c r="J39" s="19"/>
    </row>
    <row r="40" spans="1:10" ht="15.5" x14ac:dyDescent="0.35">
      <c r="A40" s="19"/>
      <c r="B40" s="1"/>
      <c r="C40" s="19"/>
      <c r="D40" s="1"/>
      <c r="E40" s="19"/>
      <c r="F40" s="84" t="s">
        <v>11</v>
      </c>
      <c r="G40" s="38">
        <f>SUM(G3:G38)</f>
        <v>17</v>
      </c>
      <c r="H40" s="19"/>
      <c r="I40" s="19"/>
      <c r="J40" s="19"/>
    </row>
  </sheetData>
  <mergeCells count="1">
    <mergeCell ref="C9:D9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rightToLeft="1" workbookViewId="0">
      <selection sqref="A1:C1"/>
    </sheetView>
  </sheetViews>
  <sheetFormatPr defaultColWidth="17.75" defaultRowHeight="15.5" x14ac:dyDescent="0.35"/>
  <cols>
    <col min="1" max="1" width="20.33203125" style="1" customWidth="1"/>
    <col min="2" max="2" width="14.58203125" style="1" customWidth="1"/>
    <col min="3" max="3" width="10.58203125" style="1" customWidth="1"/>
    <col min="4" max="4" width="13.6640625" style="1" customWidth="1"/>
    <col min="5" max="5" width="9.25" style="1" customWidth="1"/>
    <col min="6" max="6" width="17.58203125" style="1" customWidth="1"/>
    <col min="7" max="7" width="10" style="1" customWidth="1"/>
    <col min="8" max="8" width="13.4140625" style="2" customWidth="1"/>
    <col min="9" max="9" width="11.25" style="141" customWidth="1"/>
    <col min="10" max="16384" width="17.75" style="1"/>
  </cols>
  <sheetData>
    <row r="1" spans="1:9" ht="18" x14ac:dyDescent="0.4">
      <c r="A1" s="148" t="s">
        <v>20</v>
      </c>
      <c r="B1" s="148"/>
      <c r="C1" s="148"/>
      <c r="I1" s="62" t="s">
        <v>19</v>
      </c>
    </row>
    <row r="2" spans="1:9" x14ac:dyDescent="0.35">
      <c r="A2" s="6" t="s">
        <v>51</v>
      </c>
      <c r="I2" s="62"/>
    </row>
    <row r="3" spans="1:9" x14ac:dyDescent="0.35">
      <c r="A3" s="149" t="s">
        <v>181</v>
      </c>
      <c r="B3" s="149"/>
      <c r="I3" s="62"/>
    </row>
    <row r="4" spans="1:9" ht="15" customHeight="1" x14ac:dyDescent="0.35">
      <c r="A4" s="135" t="s">
        <v>164</v>
      </c>
      <c r="B4" s="1">
        <f>G39</f>
        <v>120000</v>
      </c>
      <c r="H4" s="1"/>
      <c r="I4" s="138"/>
    </row>
    <row r="5" spans="1:9" x14ac:dyDescent="0.35">
      <c r="A5" s="135" t="s">
        <v>163</v>
      </c>
      <c r="B5" s="1">
        <f>B39</f>
        <v>100000</v>
      </c>
      <c r="D5" s="1" t="s">
        <v>183</v>
      </c>
      <c r="H5" s="1"/>
      <c r="I5" s="138">
        <v>1</v>
      </c>
    </row>
    <row r="6" spans="1:9" s="69" customFormat="1" x14ac:dyDescent="0.35">
      <c r="A6" s="135" t="s">
        <v>166</v>
      </c>
      <c r="B6" s="1">
        <f>C39</f>
        <v>20000</v>
      </c>
      <c r="C6" s="1"/>
      <c r="D6" s="1"/>
      <c r="I6" s="138"/>
    </row>
    <row r="7" spans="1:9" s="69" customFormat="1" x14ac:dyDescent="0.35">
      <c r="A7" s="135"/>
      <c r="B7" s="1"/>
      <c r="C7" s="1"/>
      <c r="D7" s="1"/>
      <c r="I7" s="138"/>
    </row>
    <row r="8" spans="1:9" s="69" customFormat="1" x14ac:dyDescent="0.35">
      <c r="A8" s="1" t="s">
        <v>154</v>
      </c>
      <c r="B8" s="1">
        <f>B4*0.1</f>
        <v>12000</v>
      </c>
      <c r="C8" s="1"/>
      <c r="D8" s="1"/>
      <c r="I8" s="138">
        <v>1</v>
      </c>
    </row>
    <row r="9" spans="1:9" s="69" customFormat="1" x14ac:dyDescent="0.35">
      <c r="A9" s="1" t="s">
        <v>165</v>
      </c>
      <c r="B9" s="1">
        <f>B8</f>
        <v>12000</v>
      </c>
      <c r="C9" s="1"/>
      <c r="D9" s="1"/>
      <c r="I9" s="138"/>
    </row>
    <row r="10" spans="1:9" s="69" customFormat="1" x14ac:dyDescent="0.35">
      <c r="A10" s="6"/>
      <c r="B10" s="1"/>
      <c r="C10" s="1"/>
      <c r="D10" s="1"/>
      <c r="I10" s="138"/>
    </row>
    <row r="11" spans="1:9" s="69" customFormat="1" x14ac:dyDescent="0.35">
      <c r="A11" s="135" t="s">
        <v>167</v>
      </c>
      <c r="B11" s="1">
        <f>F41</f>
        <v>100000</v>
      </c>
      <c r="C11" s="1"/>
      <c r="D11" s="1"/>
      <c r="I11" s="138"/>
    </row>
    <row r="12" spans="1:9" s="69" customFormat="1" x14ac:dyDescent="0.35">
      <c r="A12" s="135" t="s">
        <v>168</v>
      </c>
      <c r="B12" s="1">
        <f>B11</f>
        <v>100000</v>
      </c>
      <c r="C12" s="1"/>
      <c r="D12" s="1"/>
      <c r="I12" s="138">
        <v>1</v>
      </c>
    </row>
    <row r="13" spans="1:9" s="69" customFormat="1" x14ac:dyDescent="0.35">
      <c r="A13" s="135"/>
      <c r="B13" s="1"/>
      <c r="C13" s="1"/>
      <c r="D13" s="1"/>
      <c r="I13" s="138"/>
    </row>
    <row r="14" spans="1:9" s="69" customFormat="1" x14ac:dyDescent="0.35">
      <c r="A14" s="135" t="s">
        <v>154</v>
      </c>
      <c r="B14" s="1">
        <f>B42</f>
        <v>160000</v>
      </c>
      <c r="C14" s="1"/>
      <c r="D14" s="69" t="s">
        <v>177</v>
      </c>
      <c r="I14" s="138"/>
    </row>
    <row r="15" spans="1:9" s="69" customFormat="1" x14ac:dyDescent="0.35">
      <c r="A15" s="135" t="s">
        <v>163</v>
      </c>
      <c r="B15" s="1">
        <f>B14</f>
        <v>160000</v>
      </c>
      <c r="C15" s="1"/>
      <c r="I15" s="138">
        <v>1</v>
      </c>
    </row>
    <row r="16" spans="1:9" x14ac:dyDescent="0.35">
      <c r="A16" s="135"/>
      <c r="H16" s="1"/>
      <c r="I16" s="138"/>
    </row>
    <row r="17" spans="1:9" s="9" customFormat="1" x14ac:dyDescent="0.35">
      <c r="A17" s="135" t="s">
        <v>169</v>
      </c>
      <c r="B17" s="1">
        <f>E43</f>
        <v>80000</v>
      </c>
      <c r="C17" s="1"/>
      <c r="I17" s="138">
        <v>1</v>
      </c>
    </row>
    <row r="18" spans="1:9" s="9" customFormat="1" x14ac:dyDescent="0.35">
      <c r="A18" s="135" t="s">
        <v>170</v>
      </c>
      <c r="B18" s="1">
        <f>B17</f>
        <v>80000</v>
      </c>
      <c r="C18" s="1"/>
      <c r="I18" s="138"/>
    </row>
    <row r="19" spans="1:9" s="9" customFormat="1" x14ac:dyDescent="0.35">
      <c r="A19" s="135"/>
      <c r="B19" s="1"/>
      <c r="C19" s="1"/>
      <c r="I19" s="138"/>
    </row>
    <row r="20" spans="1:9" s="9" customFormat="1" x14ac:dyDescent="0.35">
      <c r="A20" s="135" t="s">
        <v>175</v>
      </c>
      <c r="B20" s="1">
        <f>B44</f>
        <v>20000</v>
      </c>
      <c r="C20" s="1"/>
      <c r="I20" s="138">
        <v>1</v>
      </c>
    </row>
    <row r="21" spans="1:9" s="9" customFormat="1" x14ac:dyDescent="0.35">
      <c r="A21" s="135" t="s">
        <v>172</v>
      </c>
      <c r="B21" s="1">
        <f>B20</f>
        <v>20000</v>
      </c>
      <c r="C21" s="1"/>
      <c r="D21" s="136" t="s">
        <v>178</v>
      </c>
      <c r="I21" s="138"/>
    </row>
    <row r="22" spans="1:9" s="9" customFormat="1" x14ac:dyDescent="0.35">
      <c r="A22" s="135"/>
      <c r="B22" s="1"/>
      <c r="C22" s="1"/>
      <c r="I22" s="138"/>
    </row>
    <row r="23" spans="1:9" s="9" customFormat="1" x14ac:dyDescent="0.35">
      <c r="A23" s="135" t="s">
        <v>164</v>
      </c>
      <c r="B23" s="1">
        <f>G45</f>
        <v>64000</v>
      </c>
      <c r="C23" s="1"/>
      <c r="D23" s="1" t="s">
        <v>186</v>
      </c>
      <c r="I23" s="138"/>
    </row>
    <row r="24" spans="1:9" s="9" customFormat="1" x14ac:dyDescent="0.35">
      <c r="A24" s="135" t="s">
        <v>171</v>
      </c>
      <c r="B24" s="1">
        <f>-F45</f>
        <v>40000</v>
      </c>
      <c r="C24" s="1"/>
      <c r="D24" s="1" t="s">
        <v>185</v>
      </c>
      <c r="I24" s="138"/>
    </row>
    <row r="25" spans="1:9" s="9" customFormat="1" x14ac:dyDescent="0.35">
      <c r="A25" s="135" t="s">
        <v>172</v>
      </c>
      <c r="B25" s="1">
        <f>B45</f>
        <v>16000</v>
      </c>
      <c r="C25" s="1"/>
      <c r="D25" s="1" t="s">
        <v>184</v>
      </c>
      <c r="I25" s="138">
        <v>2</v>
      </c>
    </row>
    <row r="26" spans="1:9" s="9" customFormat="1" x14ac:dyDescent="0.35">
      <c r="A26" s="135" t="s">
        <v>166</v>
      </c>
      <c r="B26" s="1">
        <f>C45</f>
        <v>88000</v>
      </c>
      <c r="C26" s="1"/>
      <c r="D26" s="1" t="s">
        <v>111</v>
      </c>
      <c r="I26" s="138"/>
    </row>
    <row r="27" spans="1:9" s="9" customFormat="1" x14ac:dyDescent="0.35">
      <c r="A27" s="135"/>
      <c r="B27" s="1"/>
      <c r="C27" s="1"/>
      <c r="D27" s="1"/>
      <c r="E27" s="1"/>
      <c r="I27" s="138"/>
    </row>
    <row r="28" spans="1:9" s="9" customFormat="1" x14ac:dyDescent="0.35">
      <c r="A28" s="135" t="s">
        <v>171</v>
      </c>
      <c r="B28" s="1">
        <f>C47</f>
        <v>60000</v>
      </c>
      <c r="C28" s="1"/>
      <c r="D28" s="1"/>
      <c r="E28" s="1"/>
      <c r="I28" s="138">
        <v>1</v>
      </c>
    </row>
    <row r="29" spans="1:9" s="9" customFormat="1" x14ac:dyDescent="0.35">
      <c r="A29" s="135" t="s">
        <v>176</v>
      </c>
      <c r="B29" s="1">
        <f>B28</f>
        <v>60000</v>
      </c>
      <c r="C29" s="1"/>
      <c r="D29" s="1"/>
      <c r="E29" s="1"/>
      <c r="I29" s="138"/>
    </row>
    <row r="30" spans="1:9" x14ac:dyDescent="0.35">
      <c r="A30" s="135"/>
      <c r="H30" s="1"/>
      <c r="I30" s="138"/>
    </row>
    <row r="31" spans="1:9" x14ac:dyDescent="0.35">
      <c r="A31" s="135" t="s">
        <v>173</v>
      </c>
      <c r="B31" s="1">
        <f>-D48</f>
        <v>59600</v>
      </c>
      <c r="H31" s="1"/>
      <c r="I31" s="138"/>
    </row>
    <row r="32" spans="1:9" x14ac:dyDescent="0.35">
      <c r="A32" s="135" t="s">
        <v>180</v>
      </c>
      <c r="B32" s="1">
        <f>B31</f>
        <v>59600</v>
      </c>
      <c r="F32" s="1" t="s">
        <v>179</v>
      </c>
      <c r="H32" s="1"/>
      <c r="I32" s="138">
        <v>1</v>
      </c>
    </row>
    <row r="33" spans="1:9" x14ac:dyDescent="0.35">
      <c r="A33" s="135"/>
      <c r="H33" s="1"/>
      <c r="I33" s="138"/>
    </row>
    <row r="34" spans="1:9" x14ac:dyDescent="0.35">
      <c r="A34" s="6" t="s">
        <v>63</v>
      </c>
      <c r="B34" s="133"/>
      <c r="C34" s="133"/>
      <c r="D34" s="133"/>
      <c r="E34" s="133"/>
      <c r="F34" s="133"/>
      <c r="G34" s="134"/>
      <c r="H34" s="17"/>
      <c r="I34" s="138"/>
    </row>
    <row r="35" spans="1:9" ht="18.5" x14ac:dyDescent="0.65">
      <c r="A35" s="150" t="s">
        <v>182</v>
      </c>
      <c r="B35" s="150"/>
      <c r="C35" s="133"/>
      <c r="D35" s="133"/>
      <c r="E35" s="133"/>
      <c r="F35" s="133"/>
      <c r="G35" s="134"/>
      <c r="H35" s="17"/>
      <c r="I35" s="138"/>
    </row>
    <row r="36" spans="1:9" x14ac:dyDescent="0.35">
      <c r="A36" s="6"/>
      <c r="D36" s="94" t="s">
        <v>50</v>
      </c>
      <c r="I36" s="138"/>
    </row>
    <row r="37" spans="1:9" x14ac:dyDescent="0.35">
      <c r="A37" s="12" t="s">
        <v>6</v>
      </c>
      <c r="B37" s="12" t="s">
        <v>16</v>
      </c>
      <c r="C37" s="12" t="s">
        <v>7</v>
      </c>
      <c r="D37" s="12" t="s">
        <v>8</v>
      </c>
      <c r="E37" s="12" t="s">
        <v>9</v>
      </c>
      <c r="F37" s="12" t="s">
        <v>10</v>
      </c>
      <c r="G37" s="12" t="s">
        <v>11</v>
      </c>
      <c r="H37" s="7"/>
      <c r="I37" s="138"/>
    </row>
    <row r="38" spans="1:9" x14ac:dyDescent="0.35">
      <c r="A38" s="85" t="s">
        <v>87</v>
      </c>
      <c r="B38" s="86">
        <v>300000</v>
      </c>
      <c r="C38" s="86">
        <v>220000</v>
      </c>
      <c r="D38" s="93">
        <f>D49-D48-D46-D43</f>
        <v>130000</v>
      </c>
      <c r="E38" s="86" t="s">
        <v>17</v>
      </c>
      <c r="F38" s="86" t="s">
        <v>17</v>
      </c>
      <c r="G38" s="86">
        <f>SUM(B38:F38)</f>
        <v>650000</v>
      </c>
      <c r="H38" s="94" t="s">
        <v>150</v>
      </c>
      <c r="I38" s="139">
        <v>2</v>
      </c>
    </row>
    <row r="39" spans="1:9" x14ac:dyDescent="0.35">
      <c r="A39" s="1" t="s">
        <v>52</v>
      </c>
      <c r="B39" s="13">
        <v>100000</v>
      </c>
      <c r="C39" s="13">
        <f>G39-B39</f>
        <v>20000</v>
      </c>
      <c r="D39" s="69"/>
      <c r="E39" s="13"/>
      <c r="F39" s="13"/>
      <c r="G39" s="13">
        <v>120000</v>
      </c>
      <c r="H39" s="87"/>
      <c r="I39" s="138">
        <v>1</v>
      </c>
    </row>
    <row r="40" spans="1:9" x14ac:dyDescent="0.35">
      <c r="A40" s="85" t="s">
        <v>89</v>
      </c>
      <c r="B40" s="86"/>
      <c r="C40" s="86">
        <f>-G39/10</f>
        <v>-12000</v>
      </c>
      <c r="D40" s="86"/>
      <c r="E40" s="86"/>
      <c r="F40" s="86"/>
      <c r="G40" s="86">
        <f>SUM(B40:F40)</f>
        <v>-12000</v>
      </c>
      <c r="H40" s="87"/>
      <c r="I40" s="138">
        <v>1</v>
      </c>
    </row>
    <row r="41" spans="1:9" x14ac:dyDescent="0.35">
      <c r="A41" s="15" t="s">
        <v>13</v>
      </c>
      <c r="B41" s="15"/>
      <c r="C41" s="15"/>
      <c r="D41" s="15"/>
      <c r="E41" s="15"/>
      <c r="F41" s="15">
        <v>100000</v>
      </c>
      <c r="G41" s="86">
        <f>SUM(B41:F41)</f>
        <v>100000</v>
      </c>
      <c r="H41" s="87"/>
      <c r="I41" s="138">
        <v>1</v>
      </c>
    </row>
    <row r="42" spans="1:9" x14ac:dyDescent="0.35">
      <c r="A42" s="15" t="s">
        <v>18</v>
      </c>
      <c r="B42" s="13">
        <v>160000</v>
      </c>
      <c r="C42" s="13">
        <f>-B42</f>
        <v>-160000</v>
      </c>
      <c r="D42" s="13"/>
      <c r="E42" s="13"/>
      <c r="F42" s="13"/>
      <c r="G42" s="86">
        <f t="shared" ref="G42:G49" si="0">SUM(B42:F42)</f>
        <v>0</v>
      </c>
      <c r="H42" s="4"/>
      <c r="I42" s="138">
        <v>1</v>
      </c>
    </row>
    <row r="43" spans="1:9" x14ac:dyDescent="0.35">
      <c r="A43" s="15" t="s">
        <v>12</v>
      </c>
      <c r="B43" s="13"/>
      <c r="C43" s="13"/>
      <c r="D43" s="13">
        <v>-80000</v>
      </c>
      <c r="E43" s="13">
        <f>-D43</f>
        <v>80000</v>
      </c>
      <c r="F43" s="13"/>
      <c r="G43" s="86">
        <f t="shared" si="0"/>
        <v>0</v>
      </c>
      <c r="H43" s="18"/>
      <c r="I43" s="62">
        <v>1</v>
      </c>
    </row>
    <row r="44" spans="1:9" x14ac:dyDescent="0.35">
      <c r="A44" s="15" t="s">
        <v>174</v>
      </c>
      <c r="B44" s="13">
        <v>20000</v>
      </c>
      <c r="C44" s="13"/>
      <c r="D44" s="13"/>
      <c r="E44" s="13"/>
      <c r="F44" s="13"/>
      <c r="G44" s="86">
        <f>SUM(B44:F44)</f>
        <v>20000</v>
      </c>
      <c r="H44" s="18"/>
      <c r="I44" s="62">
        <v>1</v>
      </c>
    </row>
    <row r="45" spans="1:9" x14ac:dyDescent="0.35">
      <c r="A45" s="15" t="s">
        <v>14</v>
      </c>
      <c r="B45" s="13">
        <v>16000</v>
      </c>
      <c r="C45" s="13">
        <v>88000</v>
      </c>
      <c r="D45" s="13"/>
      <c r="E45" s="13"/>
      <c r="F45" s="13">
        <f>-8000*5</f>
        <v>-40000</v>
      </c>
      <c r="G45" s="86">
        <f>SUM(B45:F45)</f>
        <v>64000</v>
      </c>
      <c r="H45" s="4"/>
      <c r="I45" s="62">
        <v>1</v>
      </c>
    </row>
    <row r="46" spans="1:9" x14ac:dyDescent="0.35">
      <c r="A46" s="15" t="s">
        <v>90</v>
      </c>
      <c r="B46" s="13"/>
      <c r="C46" s="13"/>
      <c r="D46" s="13">
        <v>215000</v>
      </c>
      <c r="E46" s="13"/>
      <c r="F46" s="13"/>
      <c r="G46" s="86">
        <f t="shared" si="0"/>
        <v>215000</v>
      </c>
      <c r="H46" s="4"/>
      <c r="I46" s="62">
        <v>1</v>
      </c>
    </row>
    <row r="47" spans="1:9" x14ac:dyDescent="0.35">
      <c r="A47" s="15" t="s">
        <v>91</v>
      </c>
      <c r="B47" s="13"/>
      <c r="C47" s="13">
        <f>-F47</f>
        <v>60000</v>
      </c>
      <c r="D47" s="13"/>
      <c r="E47" s="13"/>
      <c r="F47" s="13">
        <f>-60000</f>
        <v>-60000</v>
      </c>
      <c r="G47" s="86">
        <f t="shared" si="0"/>
        <v>0</v>
      </c>
      <c r="H47" s="4"/>
      <c r="I47" s="62">
        <v>1</v>
      </c>
    </row>
    <row r="48" spans="1:9" x14ac:dyDescent="0.35">
      <c r="A48" s="15" t="s">
        <v>15</v>
      </c>
      <c r="B48" s="13"/>
      <c r="C48" s="13"/>
      <c r="D48" s="13">
        <f>-B49*0.1</f>
        <v>-59600</v>
      </c>
      <c r="E48" s="13"/>
      <c r="F48" s="13"/>
      <c r="G48" s="86">
        <f t="shared" si="0"/>
        <v>-59600</v>
      </c>
      <c r="H48" s="4"/>
      <c r="I48" s="62">
        <v>1</v>
      </c>
    </row>
    <row r="49" spans="1:9" x14ac:dyDescent="0.35">
      <c r="A49" s="16" t="s">
        <v>88</v>
      </c>
      <c r="B49" s="14">
        <f>SUM(B38:B48)</f>
        <v>596000</v>
      </c>
      <c r="C49" s="14">
        <f>SUM(C38:C48)</f>
        <v>216000</v>
      </c>
      <c r="D49" s="14">
        <v>205400</v>
      </c>
      <c r="E49" s="14">
        <f>SUM(E38:E48)</f>
        <v>80000</v>
      </c>
      <c r="F49" s="14">
        <f>SUM(F38:F48)</f>
        <v>0</v>
      </c>
      <c r="G49" s="120">
        <f t="shared" si="0"/>
        <v>1097400</v>
      </c>
      <c r="H49" s="17"/>
      <c r="I49" s="62">
        <v>1</v>
      </c>
    </row>
    <row r="50" spans="1:9" x14ac:dyDescent="0.35">
      <c r="A50" s="132"/>
      <c r="B50" s="133"/>
      <c r="C50" s="133"/>
      <c r="D50" s="133"/>
      <c r="E50" s="133"/>
      <c r="F50" s="133"/>
      <c r="G50" s="134"/>
      <c r="H50" s="17"/>
      <c r="I50" s="62"/>
    </row>
    <row r="51" spans="1:9" x14ac:dyDescent="0.35">
      <c r="A51" s="132"/>
      <c r="B51" s="133"/>
      <c r="C51" s="133"/>
      <c r="D51" s="133"/>
      <c r="E51" s="133"/>
      <c r="F51" s="133"/>
      <c r="G51" s="134"/>
      <c r="H51" s="17"/>
      <c r="I51" s="62"/>
    </row>
    <row r="52" spans="1:9" x14ac:dyDescent="0.35">
      <c r="A52" s="6" t="s">
        <v>64</v>
      </c>
      <c r="I52" s="137"/>
    </row>
    <row r="53" spans="1:9" x14ac:dyDescent="0.35">
      <c r="A53" s="68" t="s">
        <v>65</v>
      </c>
      <c r="B53" s="68"/>
      <c r="C53" s="68"/>
      <c r="D53" s="68"/>
      <c r="E53" s="68"/>
      <c r="F53"/>
      <c r="I53" s="62">
        <v>1</v>
      </c>
    </row>
    <row r="54" spans="1:9" x14ac:dyDescent="0.35">
      <c r="A54" s="68" t="s">
        <v>93</v>
      </c>
      <c r="B54" s="68"/>
      <c r="C54" s="68"/>
      <c r="D54" s="68"/>
      <c r="E54" s="68"/>
      <c r="F54"/>
      <c r="I54" s="137"/>
    </row>
    <row r="55" spans="1:9" x14ac:dyDescent="0.35">
      <c r="A55" s="68" t="s">
        <v>94</v>
      </c>
      <c r="B55" s="68"/>
      <c r="C55" s="68"/>
      <c r="D55" s="68"/>
      <c r="E55" s="68"/>
      <c r="F55"/>
      <c r="I55" s="62"/>
    </row>
    <row r="56" spans="1:9" x14ac:dyDescent="0.35">
      <c r="A56" s="68" t="s">
        <v>95</v>
      </c>
      <c r="B56" s="68"/>
      <c r="C56" s="68"/>
      <c r="D56" s="68"/>
      <c r="E56" s="68"/>
      <c r="F56"/>
      <c r="I56" s="62">
        <v>3</v>
      </c>
    </row>
    <row r="57" spans="1:9" x14ac:dyDescent="0.35">
      <c r="I57" s="140"/>
    </row>
    <row r="58" spans="1:9" x14ac:dyDescent="0.35">
      <c r="H58" s="88" t="s">
        <v>92</v>
      </c>
      <c r="I58" s="62">
        <f>SUM(I2:I56)</f>
        <v>27</v>
      </c>
    </row>
  </sheetData>
  <mergeCells count="3">
    <mergeCell ref="A1:C1"/>
    <mergeCell ref="A3:B3"/>
    <mergeCell ref="A35:B35"/>
  </mergeCells>
  <pageMargins left="0.7" right="0.7" top="0.75" bottom="0.75" header="0.3" footer="0.3"/>
  <pageSetup paperSize="9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rightToLeft="1" topLeftCell="A10" workbookViewId="0">
      <selection activeCell="B34" sqref="B34"/>
    </sheetView>
  </sheetViews>
  <sheetFormatPr defaultColWidth="9" defaultRowHeight="15.5" x14ac:dyDescent="0.35"/>
  <cols>
    <col min="1" max="1" width="40.58203125" style="5" customWidth="1"/>
    <col min="2" max="2" width="19.83203125" style="5" customWidth="1"/>
    <col min="3" max="3" width="25.83203125" style="5" customWidth="1"/>
    <col min="4" max="4" width="11" style="3" customWidth="1"/>
    <col min="5" max="16384" width="9" style="5"/>
  </cols>
  <sheetData>
    <row r="1" spans="1:7" ht="18" x14ac:dyDescent="0.4">
      <c r="A1" s="11" t="s">
        <v>149</v>
      </c>
      <c r="C1" s="6"/>
      <c r="D1" s="62"/>
    </row>
    <row r="2" spans="1:7" x14ac:dyDescent="0.35">
      <c r="A2" s="63" t="s">
        <v>60</v>
      </c>
      <c r="B2" s="64">
        <f>4.8/12</f>
        <v>0.39999999999999997</v>
      </c>
      <c r="C2" s="65" t="s">
        <v>96</v>
      </c>
      <c r="D2" s="62">
        <v>1</v>
      </c>
      <c r="E2" s="19"/>
      <c r="F2" s="19"/>
      <c r="G2" s="19"/>
    </row>
    <row r="3" spans="1:7" x14ac:dyDescent="0.35">
      <c r="A3" s="28" t="s">
        <v>50</v>
      </c>
      <c r="B3" s="40"/>
      <c r="C3" s="66"/>
      <c r="D3" s="62"/>
      <c r="E3" s="19"/>
      <c r="F3" s="19"/>
      <c r="G3" s="19"/>
    </row>
    <row r="4" spans="1:7" x14ac:dyDescent="0.35">
      <c r="A4" s="32" t="s">
        <v>99</v>
      </c>
      <c r="B4" s="28"/>
      <c r="C4" s="19"/>
      <c r="D4" s="62"/>
      <c r="E4" s="19"/>
      <c r="F4" s="19"/>
      <c r="G4" s="19"/>
    </row>
    <row r="5" spans="1:7" x14ac:dyDescent="0.35">
      <c r="A5" s="19" t="s">
        <v>0</v>
      </c>
      <c r="B5" s="1">
        <v>284000</v>
      </c>
      <c r="C5" s="19"/>
      <c r="D5" s="62"/>
      <c r="E5" s="19"/>
      <c r="F5" s="19"/>
    </row>
    <row r="6" spans="1:7" ht="18.5" x14ac:dyDescent="0.65">
      <c r="A6" s="19" t="s">
        <v>1</v>
      </c>
      <c r="B6" s="89">
        <f>-460000*0.4</f>
        <v>-184000</v>
      </c>
      <c r="C6" s="19" t="s">
        <v>159</v>
      </c>
      <c r="D6" s="62">
        <v>2</v>
      </c>
      <c r="E6" s="19"/>
      <c r="F6" s="19"/>
    </row>
    <row r="7" spans="1:7" x14ac:dyDescent="0.35">
      <c r="A7" s="19"/>
      <c r="B7" s="1">
        <f>SUM(B5:B6)</f>
        <v>100000</v>
      </c>
      <c r="C7" s="19"/>
      <c r="D7" s="62"/>
      <c r="E7" s="19"/>
      <c r="F7" s="19"/>
    </row>
    <row r="8" spans="1:7" x14ac:dyDescent="0.35">
      <c r="A8" s="32" t="s">
        <v>100</v>
      </c>
      <c r="B8" s="19"/>
      <c r="C8" s="1"/>
      <c r="D8" s="62"/>
      <c r="E8" s="19"/>
      <c r="F8" s="19"/>
    </row>
    <row r="9" spans="1:7" x14ac:dyDescent="0.35">
      <c r="A9" s="19" t="s">
        <v>59</v>
      </c>
      <c r="B9" s="1">
        <f>70000*0.4</f>
        <v>28000</v>
      </c>
      <c r="C9" s="19" t="s">
        <v>97</v>
      </c>
      <c r="D9" s="62"/>
      <c r="E9" s="19"/>
      <c r="F9" s="19"/>
    </row>
    <row r="10" spans="1:7" x14ac:dyDescent="0.35">
      <c r="A10" s="19" t="s">
        <v>58</v>
      </c>
      <c r="B10" s="1">
        <f>55000*0.4</f>
        <v>22000</v>
      </c>
      <c r="C10" s="19" t="s">
        <v>98</v>
      </c>
      <c r="D10" s="62"/>
      <c r="E10" s="19"/>
      <c r="F10" s="19"/>
    </row>
    <row r="11" spans="1:7" x14ac:dyDescent="0.35">
      <c r="A11" s="19" t="s">
        <v>2</v>
      </c>
      <c r="B11" s="67">
        <f>B12-B10-B9</f>
        <v>50000</v>
      </c>
      <c r="C11" s="19"/>
      <c r="D11" s="62">
        <v>3</v>
      </c>
      <c r="E11" s="19"/>
      <c r="F11" s="19"/>
    </row>
    <row r="12" spans="1:7" x14ac:dyDescent="0.35">
      <c r="A12" s="19"/>
      <c r="B12" s="1">
        <f>B7</f>
        <v>100000</v>
      </c>
      <c r="C12" s="19"/>
      <c r="D12" s="62"/>
      <c r="E12" s="19"/>
      <c r="F12" s="19"/>
    </row>
    <row r="13" spans="1:7" x14ac:dyDescent="0.35">
      <c r="A13" s="28" t="s">
        <v>51</v>
      </c>
      <c r="B13" s="28"/>
      <c r="C13" s="1"/>
      <c r="D13" s="62"/>
      <c r="E13" s="19"/>
      <c r="F13" s="19"/>
    </row>
    <row r="14" spans="1:7" x14ac:dyDescent="0.35">
      <c r="A14" s="32" t="s">
        <v>102</v>
      </c>
      <c r="B14" s="19"/>
      <c r="C14" s="19"/>
      <c r="D14" s="62"/>
      <c r="E14" s="19"/>
      <c r="F14" s="19"/>
    </row>
    <row r="15" spans="1:7" x14ac:dyDescent="0.35">
      <c r="A15" s="19" t="s">
        <v>0</v>
      </c>
      <c r="B15" s="1">
        <f>B5</f>
        <v>284000</v>
      </c>
      <c r="C15" s="19"/>
      <c r="D15" s="62">
        <v>1</v>
      </c>
      <c r="E15" s="19"/>
      <c r="F15" s="19"/>
    </row>
    <row r="16" spans="1:7" x14ac:dyDescent="0.35">
      <c r="A16" s="19" t="s">
        <v>101</v>
      </c>
      <c r="B16" s="1">
        <f>240000/12*9*0.4</f>
        <v>72000</v>
      </c>
      <c r="C16" s="19" t="s">
        <v>104</v>
      </c>
      <c r="D16" s="62">
        <v>2</v>
      </c>
      <c r="E16" s="19"/>
    </row>
    <row r="17" spans="1:6" x14ac:dyDescent="0.35">
      <c r="A17" s="19" t="s">
        <v>103</v>
      </c>
      <c r="B17" s="1">
        <f>-62000*0.4</f>
        <v>-24800</v>
      </c>
      <c r="C17" s="19" t="s">
        <v>105</v>
      </c>
      <c r="D17" s="62">
        <v>1</v>
      </c>
      <c r="E17" s="19"/>
    </row>
    <row r="18" spans="1:6" x14ac:dyDescent="0.35">
      <c r="A18" s="19" t="s">
        <v>61</v>
      </c>
      <c r="B18" s="67">
        <f>-28000*0.75/4</f>
        <v>-5250</v>
      </c>
      <c r="C18" s="19" t="s">
        <v>106</v>
      </c>
      <c r="D18" s="62">
        <v>2</v>
      </c>
      <c r="E18" s="19"/>
    </row>
    <row r="19" spans="1:6" x14ac:dyDescent="0.35">
      <c r="A19" s="19"/>
      <c r="B19" s="1">
        <f>SUM(B15:B18)</f>
        <v>325950</v>
      </c>
      <c r="C19" s="19" t="s">
        <v>107</v>
      </c>
      <c r="D19" s="62"/>
      <c r="E19" s="19"/>
      <c r="F19" s="19"/>
    </row>
    <row r="20" spans="1:6" x14ac:dyDescent="0.35">
      <c r="A20" s="28" t="s">
        <v>63</v>
      </c>
      <c r="B20" s="19"/>
      <c r="C20" s="19"/>
      <c r="D20" s="62"/>
      <c r="E20" s="19"/>
      <c r="F20" s="19"/>
    </row>
    <row r="21" spans="1:6" x14ac:dyDescent="0.35">
      <c r="A21" s="32" t="s">
        <v>112</v>
      </c>
      <c r="B21" s="19"/>
      <c r="C21" s="19"/>
      <c r="D21" s="62"/>
      <c r="E21" s="19"/>
      <c r="F21" s="19"/>
    </row>
    <row r="22" spans="1:6" customFormat="1" x14ac:dyDescent="0.35">
      <c r="A22" s="19" t="s">
        <v>101</v>
      </c>
      <c r="B22" s="1">
        <f>B16</f>
        <v>72000</v>
      </c>
      <c r="D22" s="82"/>
    </row>
    <row r="23" spans="1:6" x14ac:dyDescent="0.35">
      <c r="A23" s="19" t="s">
        <v>113</v>
      </c>
      <c r="B23" s="90">
        <f>B18</f>
        <v>-5250</v>
      </c>
      <c r="C23" s="19"/>
      <c r="D23" s="62">
        <v>3</v>
      </c>
      <c r="E23" s="19"/>
      <c r="F23" s="19"/>
    </row>
    <row r="24" spans="1:6" x14ac:dyDescent="0.35">
      <c r="A24" s="28"/>
      <c r="B24" s="91">
        <f>SUM(B22:B23)</f>
        <v>66750</v>
      </c>
      <c r="C24" s="19"/>
      <c r="D24" s="62"/>
      <c r="E24" s="19"/>
      <c r="F24" s="19"/>
    </row>
    <row r="25" spans="1:6" x14ac:dyDescent="0.35">
      <c r="A25" s="28" t="s">
        <v>64</v>
      </c>
      <c r="B25" s="19"/>
      <c r="C25" s="19"/>
      <c r="D25" s="62"/>
      <c r="E25" s="19"/>
      <c r="F25" s="19"/>
    </row>
    <row r="26" spans="1:6" x14ac:dyDescent="0.35">
      <c r="A26" s="32" t="s">
        <v>109</v>
      </c>
      <c r="B26" s="61" t="s">
        <v>108</v>
      </c>
      <c r="C26" s="19"/>
      <c r="D26" s="62"/>
      <c r="E26" s="19"/>
      <c r="F26" s="19"/>
    </row>
    <row r="27" spans="1:6" x14ac:dyDescent="0.35">
      <c r="A27" s="19" t="s">
        <v>0</v>
      </c>
      <c r="B27" s="70">
        <f>B29-B28</f>
        <v>100000.25</v>
      </c>
      <c r="C27" s="92" t="s">
        <v>111</v>
      </c>
      <c r="D27" s="62"/>
      <c r="E27" s="19"/>
      <c r="F27" s="19"/>
    </row>
    <row r="28" spans="1:6" x14ac:dyDescent="0.35">
      <c r="A28" s="19" t="s">
        <v>62</v>
      </c>
      <c r="B28" s="67">
        <f>-B19*15/40</f>
        <v>-122231.25</v>
      </c>
      <c r="C28" s="19" t="s">
        <v>110</v>
      </c>
      <c r="D28" s="62"/>
      <c r="E28" s="19"/>
      <c r="F28" s="19"/>
    </row>
    <row r="29" spans="1:6" ht="18.5" x14ac:dyDescent="0.65">
      <c r="A29" s="19" t="s">
        <v>54</v>
      </c>
      <c r="B29" s="1">
        <v>-22231</v>
      </c>
      <c r="C29" s="19"/>
      <c r="D29" s="144">
        <v>3</v>
      </c>
      <c r="E29" s="19"/>
      <c r="F29" s="19"/>
    </row>
    <row r="30" spans="1:6" x14ac:dyDescent="0.35">
      <c r="A30" s="19"/>
      <c r="B30" s="1"/>
      <c r="C30" s="19"/>
      <c r="D30" s="62"/>
      <c r="E30" s="19"/>
      <c r="F30" s="19"/>
    </row>
    <row r="31" spans="1:6" x14ac:dyDescent="0.35">
      <c r="A31" s="19"/>
      <c r="B31" s="19"/>
      <c r="C31" s="73" t="s">
        <v>11</v>
      </c>
      <c r="D31" s="73">
        <f ca="1">SUM(D2:D32)</f>
        <v>18</v>
      </c>
      <c r="E31" s="19"/>
      <c r="F31" s="19"/>
    </row>
    <row r="32" spans="1:6" x14ac:dyDescent="0.35">
      <c r="B32" s="19"/>
      <c r="C32" s="19"/>
      <c r="D32" s="145"/>
      <c r="E32" s="19"/>
      <c r="F32" s="19"/>
    </row>
    <row r="33" spans="4:4" x14ac:dyDescent="0.35">
      <c r="D33" s="5"/>
    </row>
  </sheetData>
  <pageMargins left="0.7" right="0.7" top="0.75" bottom="0.75" header="0.3" footer="0.3"/>
  <pageSetup paperSize="9" orientation="landscape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4"/>
  <sheetViews>
    <sheetView rightToLeft="1" tabSelected="1" topLeftCell="A22" workbookViewId="0">
      <selection activeCell="D30" sqref="D30"/>
    </sheetView>
  </sheetViews>
  <sheetFormatPr defaultColWidth="9.4140625" defaultRowHeight="15.5" x14ac:dyDescent="0.35"/>
  <cols>
    <col min="1" max="1" width="2.33203125" style="96" customWidth="1"/>
    <col min="2" max="2" width="42.25" style="96" customWidth="1"/>
    <col min="3" max="4" width="19.6640625" style="96" customWidth="1"/>
    <col min="5" max="5" width="9.4140625" style="112"/>
    <col min="6" max="257" width="9.4140625" style="96"/>
    <col min="258" max="258" width="2.33203125" style="96" customWidth="1"/>
    <col min="259" max="259" width="33.4140625" style="96" customWidth="1"/>
    <col min="260" max="260" width="19.6640625" style="96" customWidth="1"/>
    <col min="261" max="513" width="9.4140625" style="96"/>
    <col min="514" max="514" width="2.33203125" style="96" customWidth="1"/>
    <col min="515" max="515" width="33.4140625" style="96" customWidth="1"/>
    <col min="516" max="516" width="19.6640625" style="96" customWidth="1"/>
    <col min="517" max="769" width="9.4140625" style="96"/>
    <col min="770" max="770" width="2.33203125" style="96" customWidth="1"/>
    <col min="771" max="771" width="33.4140625" style="96" customWidth="1"/>
    <col min="772" max="772" width="19.6640625" style="96" customWidth="1"/>
    <col min="773" max="1025" width="9.4140625" style="96"/>
    <col min="1026" max="1026" width="2.33203125" style="96" customWidth="1"/>
    <col min="1027" max="1027" width="33.4140625" style="96" customWidth="1"/>
    <col min="1028" max="1028" width="19.6640625" style="96" customWidth="1"/>
    <col min="1029" max="1281" width="9.4140625" style="96"/>
    <col min="1282" max="1282" width="2.33203125" style="96" customWidth="1"/>
    <col min="1283" max="1283" width="33.4140625" style="96" customWidth="1"/>
    <col min="1284" max="1284" width="19.6640625" style="96" customWidth="1"/>
    <col min="1285" max="1537" width="9.4140625" style="96"/>
    <col min="1538" max="1538" width="2.33203125" style="96" customWidth="1"/>
    <col min="1539" max="1539" width="33.4140625" style="96" customWidth="1"/>
    <col min="1540" max="1540" width="19.6640625" style="96" customWidth="1"/>
    <col min="1541" max="1793" width="9.4140625" style="96"/>
    <col min="1794" max="1794" width="2.33203125" style="96" customWidth="1"/>
    <col min="1795" max="1795" width="33.4140625" style="96" customWidth="1"/>
    <col min="1796" max="1796" width="19.6640625" style="96" customWidth="1"/>
    <col min="1797" max="2049" width="9.4140625" style="96"/>
    <col min="2050" max="2050" width="2.33203125" style="96" customWidth="1"/>
    <col min="2051" max="2051" width="33.4140625" style="96" customWidth="1"/>
    <col min="2052" max="2052" width="19.6640625" style="96" customWidth="1"/>
    <col min="2053" max="2305" width="9.4140625" style="96"/>
    <col min="2306" max="2306" width="2.33203125" style="96" customWidth="1"/>
    <col min="2307" max="2307" width="33.4140625" style="96" customWidth="1"/>
    <col min="2308" max="2308" width="19.6640625" style="96" customWidth="1"/>
    <col min="2309" max="2561" width="9.4140625" style="96"/>
    <col min="2562" max="2562" width="2.33203125" style="96" customWidth="1"/>
    <col min="2563" max="2563" width="33.4140625" style="96" customWidth="1"/>
    <col min="2564" max="2564" width="19.6640625" style="96" customWidth="1"/>
    <col min="2565" max="2817" width="9.4140625" style="96"/>
    <col min="2818" max="2818" width="2.33203125" style="96" customWidth="1"/>
    <col min="2819" max="2819" width="33.4140625" style="96" customWidth="1"/>
    <col min="2820" max="2820" width="19.6640625" style="96" customWidth="1"/>
    <col min="2821" max="3073" width="9.4140625" style="96"/>
    <col min="3074" max="3074" width="2.33203125" style="96" customWidth="1"/>
    <col min="3075" max="3075" width="33.4140625" style="96" customWidth="1"/>
    <col min="3076" max="3076" width="19.6640625" style="96" customWidth="1"/>
    <col min="3077" max="3329" width="9.4140625" style="96"/>
    <col min="3330" max="3330" width="2.33203125" style="96" customWidth="1"/>
    <col min="3331" max="3331" width="33.4140625" style="96" customWidth="1"/>
    <col min="3332" max="3332" width="19.6640625" style="96" customWidth="1"/>
    <col min="3333" max="3585" width="9.4140625" style="96"/>
    <col min="3586" max="3586" width="2.33203125" style="96" customWidth="1"/>
    <col min="3587" max="3587" width="33.4140625" style="96" customWidth="1"/>
    <col min="3588" max="3588" width="19.6640625" style="96" customWidth="1"/>
    <col min="3589" max="3841" width="9.4140625" style="96"/>
    <col min="3842" max="3842" width="2.33203125" style="96" customWidth="1"/>
    <col min="3843" max="3843" width="33.4140625" style="96" customWidth="1"/>
    <col min="3844" max="3844" width="19.6640625" style="96" customWidth="1"/>
    <col min="3845" max="4097" width="9.4140625" style="96"/>
    <col min="4098" max="4098" width="2.33203125" style="96" customWidth="1"/>
    <col min="4099" max="4099" width="33.4140625" style="96" customWidth="1"/>
    <col min="4100" max="4100" width="19.6640625" style="96" customWidth="1"/>
    <col min="4101" max="4353" width="9.4140625" style="96"/>
    <col min="4354" max="4354" width="2.33203125" style="96" customWidth="1"/>
    <col min="4355" max="4355" width="33.4140625" style="96" customWidth="1"/>
    <col min="4356" max="4356" width="19.6640625" style="96" customWidth="1"/>
    <col min="4357" max="4609" width="9.4140625" style="96"/>
    <col min="4610" max="4610" width="2.33203125" style="96" customWidth="1"/>
    <col min="4611" max="4611" width="33.4140625" style="96" customWidth="1"/>
    <col min="4612" max="4612" width="19.6640625" style="96" customWidth="1"/>
    <col min="4613" max="4865" width="9.4140625" style="96"/>
    <col min="4866" max="4866" width="2.33203125" style="96" customWidth="1"/>
    <col min="4867" max="4867" width="33.4140625" style="96" customWidth="1"/>
    <col min="4868" max="4868" width="19.6640625" style="96" customWidth="1"/>
    <col min="4869" max="5121" width="9.4140625" style="96"/>
    <col min="5122" max="5122" width="2.33203125" style="96" customWidth="1"/>
    <col min="5123" max="5123" width="33.4140625" style="96" customWidth="1"/>
    <col min="5124" max="5124" width="19.6640625" style="96" customWidth="1"/>
    <col min="5125" max="5377" width="9.4140625" style="96"/>
    <col min="5378" max="5378" width="2.33203125" style="96" customWidth="1"/>
    <col min="5379" max="5379" width="33.4140625" style="96" customWidth="1"/>
    <col min="5380" max="5380" width="19.6640625" style="96" customWidth="1"/>
    <col min="5381" max="5633" width="9.4140625" style="96"/>
    <col min="5634" max="5634" width="2.33203125" style="96" customWidth="1"/>
    <col min="5635" max="5635" width="33.4140625" style="96" customWidth="1"/>
    <col min="5636" max="5636" width="19.6640625" style="96" customWidth="1"/>
    <col min="5637" max="5889" width="9.4140625" style="96"/>
    <col min="5890" max="5890" width="2.33203125" style="96" customWidth="1"/>
    <col min="5891" max="5891" width="33.4140625" style="96" customWidth="1"/>
    <col min="5892" max="5892" width="19.6640625" style="96" customWidth="1"/>
    <col min="5893" max="6145" width="9.4140625" style="96"/>
    <col min="6146" max="6146" width="2.33203125" style="96" customWidth="1"/>
    <col min="6147" max="6147" width="33.4140625" style="96" customWidth="1"/>
    <col min="6148" max="6148" width="19.6640625" style="96" customWidth="1"/>
    <col min="6149" max="6401" width="9.4140625" style="96"/>
    <col min="6402" max="6402" width="2.33203125" style="96" customWidth="1"/>
    <col min="6403" max="6403" width="33.4140625" style="96" customWidth="1"/>
    <col min="6404" max="6404" width="19.6640625" style="96" customWidth="1"/>
    <col min="6405" max="6657" width="9.4140625" style="96"/>
    <col min="6658" max="6658" width="2.33203125" style="96" customWidth="1"/>
    <col min="6659" max="6659" width="33.4140625" style="96" customWidth="1"/>
    <col min="6660" max="6660" width="19.6640625" style="96" customWidth="1"/>
    <col min="6661" max="6913" width="9.4140625" style="96"/>
    <col min="6914" max="6914" width="2.33203125" style="96" customWidth="1"/>
    <col min="6915" max="6915" width="33.4140625" style="96" customWidth="1"/>
    <col min="6916" max="6916" width="19.6640625" style="96" customWidth="1"/>
    <col min="6917" max="7169" width="9.4140625" style="96"/>
    <col min="7170" max="7170" width="2.33203125" style="96" customWidth="1"/>
    <col min="7171" max="7171" width="33.4140625" style="96" customWidth="1"/>
    <col min="7172" max="7172" width="19.6640625" style="96" customWidth="1"/>
    <col min="7173" max="7425" width="9.4140625" style="96"/>
    <col min="7426" max="7426" width="2.33203125" style="96" customWidth="1"/>
    <col min="7427" max="7427" width="33.4140625" style="96" customWidth="1"/>
    <col min="7428" max="7428" width="19.6640625" style="96" customWidth="1"/>
    <col min="7429" max="7681" width="9.4140625" style="96"/>
    <col min="7682" max="7682" width="2.33203125" style="96" customWidth="1"/>
    <col min="7683" max="7683" width="33.4140625" style="96" customWidth="1"/>
    <col min="7684" max="7684" width="19.6640625" style="96" customWidth="1"/>
    <col min="7685" max="7937" width="9.4140625" style="96"/>
    <col min="7938" max="7938" width="2.33203125" style="96" customWidth="1"/>
    <col min="7939" max="7939" width="33.4140625" style="96" customWidth="1"/>
    <col min="7940" max="7940" width="19.6640625" style="96" customWidth="1"/>
    <col min="7941" max="8193" width="9.4140625" style="96"/>
    <col min="8194" max="8194" width="2.33203125" style="96" customWidth="1"/>
    <col min="8195" max="8195" width="33.4140625" style="96" customWidth="1"/>
    <col min="8196" max="8196" width="19.6640625" style="96" customWidth="1"/>
    <col min="8197" max="8449" width="9.4140625" style="96"/>
    <col min="8450" max="8450" width="2.33203125" style="96" customWidth="1"/>
    <col min="8451" max="8451" width="33.4140625" style="96" customWidth="1"/>
    <col min="8452" max="8452" width="19.6640625" style="96" customWidth="1"/>
    <col min="8453" max="8705" width="9.4140625" style="96"/>
    <col min="8706" max="8706" width="2.33203125" style="96" customWidth="1"/>
    <col min="8707" max="8707" width="33.4140625" style="96" customWidth="1"/>
    <col min="8708" max="8708" width="19.6640625" style="96" customWidth="1"/>
    <col min="8709" max="8961" width="9.4140625" style="96"/>
    <col min="8962" max="8962" width="2.33203125" style="96" customWidth="1"/>
    <col min="8963" max="8963" width="33.4140625" style="96" customWidth="1"/>
    <col min="8964" max="8964" width="19.6640625" style="96" customWidth="1"/>
    <col min="8965" max="9217" width="9.4140625" style="96"/>
    <col min="9218" max="9218" width="2.33203125" style="96" customWidth="1"/>
    <col min="9219" max="9219" width="33.4140625" style="96" customWidth="1"/>
    <col min="9220" max="9220" width="19.6640625" style="96" customWidth="1"/>
    <col min="9221" max="9473" width="9.4140625" style="96"/>
    <col min="9474" max="9474" width="2.33203125" style="96" customWidth="1"/>
    <col min="9475" max="9475" width="33.4140625" style="96" customWidth="1"/>
    <col min="9476" max="9476" width="19.6640625" style="96" customWidth="1"/>
    <col min="9477" max="9729" width="9.4140625" style="96"/>
    <col min="9730" max="9730" width="2.33203125" style="96" customWidth="1"/>
    <col min="9731" max="9731" width="33.4140625" style="96" customWidth="1"/>
    <col min="9732" max="9732" width="19.6640625" style="96" customWidth="1"/>
    <col min="9733" max="9985" width="9.4140625" style="96"/>
    <col min="9986" max="9986" width="2.33203125" style="96" customWidth="1"/>
    <col min="9987" max="9987" width="33.4140625" style="96" customWidth="1"/>
    <col min="9988" max="9988" width="19.6640625" style="96" customWidth="1"/>
    <col min="9989" max="10241" width="9.4140625" style="96"/>
    <col min="10242" max="10242" width="2.33203125" style="96" customWidth="1"/>
    <col min="10243" max="10243" width="33.4140625" style="96" customWidth="1"/>
    <col min="10244" max="10244" width="19.6640625" style="96" customWidth="1"/>
    <col min="10245" max="10497" width="9.4140625" style="96"/>
    <col min="10498" max="10498" width="2.33203125" style="96" customWidth="1"/>
    <col min="10499" max="10499" width="33.4140625" style="96" customWidth="1"/>
    <col min="10500" max="10500" width="19.6640625" style="96" customWidth="1"/>
    <col min="10501" max="10753" width="9.4140625" style="96"/>
    <col min="10754" max="10754" width="2.33203125" style="96" customWidth="1"/>
    <col min="10755" max="10755" width="33.4140625" style="96" customWidth="1"/>
    <col min="10756" max="10756" width="19.6640625" style="96" customWidth="1"/>
    <col min="10757" max="11009" width="9.4140625" style="96"/>
    <col min="11010" max="11010" width="2.33203125" style="96" customWidth="1"/>
    <col min="11011" max="11011" width="33.4140625" style="96" customWidth="1"/>
    <col min="11012" max="11012" width="19.6640625" style="96" customWidth="1"/>
    <col min="11013" max="11265" width="9.4140625" style="96"/>
    <col min="11266" max="11266" width="2.33203125" style="96" customWidth="1"/>
    <col min="11267" max="11267" width="33.4140625" style="96" customWidth="1"/>
    <col min="11268" max="11268" width="19.6640625" style="96" customWidth="1"/>
    <col min="11269" max="11521" width="9.4140625" style="96"/>
    <col min="11522" max="11522" width="2.33203125" style="96" customWidth="1"/>
    <col min="11523" max="11523" width="33.4140625" style="96" customWidth="1"/>
    <col min="11524" max="11524" width="19.6640625" style="96" customWidth="1"/>
    <col min="11525" max="11777" width="9.4140625" style="96"/>
    <col min="11778" max="11778" width="2.33203125" style="96" customWidth="1"/>
    <col min="11779" max="11779" width="33.4140625" style="96" customWidth="1"/>
    <col min="11780" max="11780" width="19.6640625" style="96" customWidth="1"/>
    <col min="11781" max="12033" width="9.4140625" style="96"/>
    <col min="12034" max="12034" width="2.33203125" style="96" customWidth="1"/>
    <col min="12035" max="12035" width="33.4140625" style="96" customWidth="1"/>
    <col min="12036" max="12036" width="19.6640625" style="96" customWidth="1"/>
    <col min="12037" max="12289" width="9.4140625" style="96"/>
    <col min="12290" max="12290" width="2.33203125" style="96" customWidth="1"/>
    <col min="12291" max="12291" width="33.4140625" style="96" customWidth="1"/>
    <col min="12292" max="12292" width="19.6640625" style="96" customWidth="1"/>
    <col min="12293" max="12545" width="9.4140625" style="96"/>
    <col min="12546" max="12546" width="2.33203125" style="96" customWidth="1"/>
    <col min="12547" max="12547" width="33.4140625" style="96" customWidth="1"/>
    <col min="12548" max="12548" width="19.6640625" style="96" customWidth="1"/>
    <col min="12549" max="12801" width="9.4140625" style="96"/>
    <col min="12802" max="12802" width="2.33203125" style="96" customWidth="1"/>
    <col min="12803" max="12803" width="33.4140625" style="96" customWidth="1"/>
    <col min="12804" max="12804" width="19.6640625" style="96" customWidth="1"/>
    <col min="12805" max="13057" width="9.4140625" style="96"/>
    <col min="13058" max="13058" width="2.33203125" style="96" customWidth="1"/>
    <col min="13059" max="13059" width="33.4140625" style="96" customWidth="1"/>
    <col min="13060" max="13060" width="19.6640625" style="96" customWidth="1"/>
    <col min="13061" max="13313" width="9.4140625" style="96"/>
    <col min="13314" max="13314" width="2.33203125" style="96" customWidth="1"/>
    <col min="13315" max="13315" width="33.4140625" style="96" customWidth="1"/>
    <col min="13316" max="13316" width="19.6640625" style="96" customWidth="1"/>
    <col min="13317" max="13569" width="9.4140625" style="96"/>
    <col min="13570" max="13570" width="2.33203125" style="96" customWidth="1"/>
    <col min="13571" max="13571" width="33.4140625" style="96" customWidth="1"/>
    <col min="13572" max="13572" width="19.6640625" style="96" customWidth="1"/>
    <col min="13573" max="13825" width="9.4140625" style="96"/>
    <col min="13826" max="13826" width="2.33203125" style="96" customWidth="1"/>
    <col min="13827" max="13827" width="33.4140625" style="96" customWidth="1"/>
    <col min="13828" max="13828" width="19.6640625" style="96" customWidth="1"/>
    <col min="13829" max="14081" width="9.4140625" style="96"/>
    <col min="14082" max="14082" width="2.33203125" style="96" customWidth="1"/>
    <col min="14083" max="14083" width="33.4140625" style="96" customWidth="1"/>
    <col min="14084" max="14084" width="19.6640625" style="96" customWidth="1"/>
    <col min="14085" max="14337" width="9.4140625" style="96"/>
    <col min="14338" max="14338" width="2.33203125" style="96" customWidth="1"/>
    <col min="14339" max="14339" width="33.4140625" style="96" customWidth="1"/>
    <col min="14340" max="14340" width="19.6640625" style="96" customWidth="1"/>
    <col min="14341" max="14593" width="9.4140625" style="96"/>
    <col min="14594" max="14594" width="2.33203125" style="96" customWidth="1"/>
    <col min="14595" max="14595" width="33.4140625" style="96" customWidth="1"/>
    <col min="14596" max="14596" width="19.6640625" style="96" customWidth="1"/>
    <col min="14597" max="14849" width="9.4140625" style="96"/>
    <col min="14850" max="14850" width="2.33203125" style="96" customWidth="1"/>
    <col min="14851" max="14851" width="33.4140625" style="96" customWidth="1"/>
    <col min="14852" max="14852" width="19.6640625" style="96" customWidth="1"/>
    <col min="14853" max="15105" width="9.4140625" style="96"/>
    <col min="15106" max="15106" width="2.33203125" style="96" customWidth="1"/>
    <col min="15107" max="15107" width="33.4140625" style="96" customWidth="1"/>
    <col min="15108" max="15108" width="19.6640625" style="96" customWidth="1"/>
    <col min="15109" max="15361" width="9.4140625" style="96"/>
    <col min="15362" max="15362" width="2.33203125" style="96" customWidth="1"/>
    <col min="15363" max="15363" width="33.4140625" style="96" customWidth="1"/>
    <col min="15364" max="15364" width="19.6640625" style="96" customWidth="1"/>
    <col min="15365" max="15617" width="9.4140625" style="96"/>
    <col min="15618" max="15618" width="2.33203125" style="96" customWidth="1"/>
    <col min="15619" max="15619" width="33.4140625" style="96" customWidth="1"/>
    <col min="15620" max="15620" width="19.6640625" style="96" customWidth="1"/>
    <col min="15621" max="15873" width="9.4140625" style="96"/>
    <col min="15874" max="15874" width="2.33203125" style="96" customWidth="1"/>
    <col min="15875" max="15875" width="33.4140625" style="96" customWidth="1"/>
    <col min="15876" max="15876" width="19.6640625" style="96" customWidth="1"/>
    <col min="15877" max="16129" width="9.4140625" style="96"/>
    <col min="16130" max="16130" width="2.33203125" style="96" customWidth="1"/>
    <col min="16131" max="16131" width="33.4140625" style="96" customWidth="1"/>
    <col min="16132" max="16132" width="19.6640625" style="96" customWidth="1"/>
    <col min="16133" max="16384" width="9.4140625" style="96"/>
  </cols>
  <sheetData>
    <row r="1" spans="2:5" ht="18" x14ac:dyDescent="0.4">
      <c r="B1" s="143" t="s">
        <v>118</v>
      </c>
      <c r="E1" s="97" t="s">
        <v>5</v>
      </c>
    </row>
    <row r="2" spans="2:5" x14ac:dyDescent="0.35">
      <c r="B2" s="98"/>
      <c r="E2" s="99"/>
    </row>
    <row r="3" spans="2:5" s="101" customFormat="1" x14ac:dyDescent="0.35">
      <c r="B3" s="100" t="s">
        <v>125</v>
      </c>
      <c r="E3" s="97"/>
    </row>
    <row r="4" spans="2:5" s="101" customFormat="1" x14ac:dyDescent="0.35">
      <c r="B4" s="102" t="s">
        <v>126</v>
      </c>
      <c r="E4" s="97"/>
    </row>
    <row r="5" spans="2:5" s="101" customFormat="1" x14ac:dyDescent="0.35">
      <c r="B5" s="101" t="s">
        <v>127</v>
      </c>
      <c r="E5" s="97">
        <v>2</v>
      </c>
    </row>
    <row r="6" spans="2:5" s="101" customFormat="1" x14ac:dyDescent="0.35">
      <c r="B6" s="101" t="s">
        <v>128</v>
      </c>
      <c r="E6" s="97"/>
    </row>
    <row r="7" spans="2:5" s="101" customFormat="1" x14ac:dyDescent="0.35">
      <c r="B7" s="100"/>
      <c r="E7" s="97"/>
    </row>
    <row r="8" spans="2:5" x14ac:dyDescent="0.35">
      <c r="B8" s="114" t="s">
        <v>132</v>
      </c>
      <c r="C8" s="96" t="s">
        <v>133</v>
      </c>
      <c r="E8" s="97">
        <v>1</v>
      </c>
    </row>
    <row r="9" spans="2:5" x14ac:dyDescent="0.35">
      <c r="B9" s="114"/>
      <c r="E9" s="97"/>
    </row>
    <row r="10" spans="2:5" x14ac:dyDescent="0.35">
      <c r="B10" s="115" t="s">
        <v>134</v>
      </c>
      <c r="E10" s="97"/>
    </row>
    <row r="11" spans="2:5" x14ac:dyDescent="0.35">
      <c r="B11" s="103" t="s">
        <v>129</v>
      </c>
      <c r="E11" s="97"/>
    </row>
    <row r="12" spans="2:5" x14ac:dyDescent="0.35">
      <c r="B12" s="103" t="s">
        <v>130</v>
      </c>
      <c r="E12" s="97">
        <v>2</v>
      </c>
    </row>
    <row r="13" spans="2:5" x14ac:dyDescent="0.35">
      <c r="B13" s="103" t="s">
        <v>131</v>
      </c>
      <c r="E13" s="97"/>
    </row>
    <row r="14" spans="2:5" x14ac:dyDescent="0.35">
      <c r="B14" s="103"/>
      <c r="E14" s="97"/>
    </row>
    <row r="15" spans="2:5" x14ac:dyDescent="0.35">
      <c r="B15" s="100" t="s">
        <v>137</v>
      </c>
      <c r="E15" s="97"/>
    </row>
    <row r="16" spans="2:5" x14ac:dyDescent="0.35">
      <c r="B16" s="96" t="s">
        <v>119</v>
      </c>
      <c r="C16" s="105">
        <f>350000*0.07</f>
        <v>24500.000000000004</v>
      </c>
      <c r="D16" s="105" t="s">
        <v>135</v>
      </c>
      <c r="E16" s="97">
        <v>1</v>
      </c>
    </row>
    <row r="17" spans="2:5" ht="18.5" x14ac:dyDescent="0.65">
      <c r="B17" s="104" t="s">
        <v>136</v>
      </c>
      <c r="C17" s="106">
        <f>-32000/8</f>
        <v>-4000</v>
      </c>
      <c r="D17" s="106" t="s">
        <v>138</v>
      </c>
      <c r="E17" s="97">
        <v>1</v>
      </c>
    </row>
    <row r="18" spans="2:5" x14ac:dyDescent="0.35">
      <c r="B18" s="96" t="s">
        <v>120</v>
      </c>
      <c r="C18" s="107">
        <f>SUM(C16:C17)</f>
        <v>20500.000000000004</v>
      </c>
      <c r="D18" s="107"/>
      <c r="E18" s="97"/>
    </row>
    <row r="19" spans="2:5" x14ac:dyDescent="0.35">
      <c r="E19" s="97"/>
    </row>
    <row r="20" spans="2:5" x14ac:dyDescent="0.35">
      <c r="B20" s="96" t="s">
        <v>121</v>
      </c>
      <c r="C20" s="107">
        <f>C16</f>
        <v>24500.000000000004</v>
      </c>
      <c r="D20" s="107"/>
      <c r="E20" s="97"/>
    </row>
    <row r="21" spans="2:5" x14ac:dyDescent="0.35">
      <c r="B21" s="96" t="s">
        <v>139</v>
      </c>
      <c r="C21" s="107">
        <f>C20</f>
        <v>24500.000000000004</v>
      </c>
      <c r="D21" s="107"/>
      <c r="E21" s="97">
        <v>2</v>
      </c>
    </row>
    <row r="22" spans="2:5" x14ac:dyDescent="0.35">
      <c r="E22" s="97"/>
    </row>
    <row r="23" spans="2:5" x14ac:dyDescent="0.35">
      <c r="B23" s="96" t="s">
        <v>154</v>
      </c>
      <c r="C23" s="107">
        <f>-C17</f>
        <v>4000</v>
      </c>
      <c r="D23" s="107"/>
      <c r="E23" s="97"/>
    </row>
    <row r="24" spans="2:5" x14ac:dyDescent="0.35">
      <c r="B24" s="108" t="s">
        <v>140</v>
      </c>
      <c r="C24" s="107">
        <f>C23</f>
        <v>4000</v>
      </c>
      <c r="D24" s="107"/>
      <c r="E24" s="97">
        <v>2</v>
      </c>
    </row>
    <row r="25" spans="2:5" x14ac:dyDescent="0.35">
      <c r="E25" s="97"/>
    </row>
    <row r="26" spans="2:5" x14ac:dyDescent="0.35">
      <c r="B26" s="100" t="s">
        <v>122</v>
      </c>
      <c r="E26" s="97"/>
    </row>
    <row r="27" spans="2:5" x14ac:dyDescent="0.35">
      <c r="B27" s="116" t="s">
        <v>141</v>
      </c>
      <c r="C27" s="98" t="s">
        <v>155</v>
      </c>
      <c r="D27" s="109"/>
      <c r="E27" s="97"/>
    </row>
    <row r="28" spans="2:5" x14ac:dyDescent="0.35">
      <c r="B28" s="96" t="s">
        <v>123</v>
      </c>
      <c r="C28" s="110">
        <v>350000</v>
      </c>
      <c r="D28" s="110"/>
      <c r="E28" s="97">
        <v>4</v>
      </c>
    </row>
    <row r="29" spans="2:5" ht="18.5" x14ac:dyDescent="0.65">
      <c r="B29" s="96" t="s">
        <v>142</v>
      </c>
      <c r="C29" s="111">
        <f>32000/8*3</f>
        <v>12000</v>
      </c>
      <c r="D29" s="111" t="s">
        <v>143</v>
      </c>
      <c r="E29" s="97"/>
    </row>
    <row r="30" spans="2:5" x14ac:dyDescent="0.35">
      <c r="B30" s="96" t="s">
        <v>187</v>
      </c>
      <c r="C30" s="110">
        <f>SUM(C28:C29)</f>
        <v>362000</v>
      </c>
      <c r="D30" s="110"/>
      <c r="E30" s="97"/>
    </row>
    <row r="31" spans="2:5" x14ac:dyDescent="0.35">
      <c r="C31" s="110"/>
      <c r="D31" s="110"/>
      <c r="E31" s="97"/>
    </row>
    <row r="32" spans="2:5" x14ac:dyDescent="0.35">
      <c r="B32" s="100" t="s">
        <v>124</v>
      </c>
      <c r="E32" s="97"/>
    </row>
    <row r="33" spans="2:5" x14ac:dyDescent="0.35">
      <c r="B33" s="96" t="s">
        <v>144</v>
      </c>
      <c r="C33" s="110"/>
      <c r="D33" s="110"/>
      <c r="E33" s="97">
        <v>1</v>
      </c>
    </row>
    <row r="34" spans="2:5" x14ac:dyDescent="0.35">
      <c r="B34" s="103" t="s">
        <v>145</v>
      </c>
      <c r="C34" s="110"/>
      <c r="D34" s="110"/>
      <c r="E34" s="97">
        <v>1</v>
      </c>
    </row>
    <row r="35" spans="2:5" x14ac:dyDescent="0.35">
      <c r="B35" s="96" t="s">
        <v>156</v>
      </c>
      <c r="E35" s="97"/>
    </row>
    <row r="36" spans="2:5" x14ac:dyDescent="0.35">
      <c r="B36" s="96" t="s">
        <v>158</v>
      </c>
      <c r="E36" s="97"/>
    </row>
    <row r="37" spans="2:5" x14ac:dyDescent="0.35">
      <c r="B37" s="96" t="s">
        <v>157</v>
      </c>
      <c r="E37" s="117">
        <v>3</v>
      </c>
    </row>
    <row r="38" spans="2:5" x14ac:dyDescent="0.35">
      <c r="E38" s="97"/>
    </row>
    <row r="39" spans="2:5" x14ac:dyDescent="0.35">
      <c r="B39" s="104"/>
      <c r="C39" s="112" t="s">
        <v>11</v>
      </c>
      <c r="D39" s="112"/>
      <c r="E39" s="97">
        <f>SUM(E2:E37)</f>
        <v>20</v>
      </c>
    </row>
    <row r="44" spans="2:5" x14ac:dyDescent="0.35">
      <c r="B44" s="113"/>
    </row>
  </sheetData>
  <pageMargins left="0.7" right="0.7" top="0.75" bottom="0.75" header="0.3" footer="0.3"/>
  <pageSetup paperSize="9" orientation="landscape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שאלה 1 - דוח ת"מ</vt:lpstr>
      <vt:lpstr>ביאורים</vt:lpstr>
      <vt:lpstr>שאלה 2 - הון עצמי</vt:lpstr>
      <vt:lpstr>שאלה 3 - שווי מאזני</vt:lpstr>
      <vt:lpstr>שאלה 4 - התחייבויות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2006-09-13T11:28:12Z</dcterms:created>
  <dcterms:modified xsi:type="dcterms:W3CDTF">2017-07-06T06:56:20Z</dcterms:modified>
</cp:coreProperties>
</file>